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4D1C537B-E38A-612A-F078-A93A15B4B7F4}"/>
  <workbookPr codeName="ThisWorkbook" defaultThemeVersion="124226"/>
  <bookViews>
    <workbookView xWindow="-105" yWindow="-105" windowWidth="20730" windowHeight="11760" tabRatio="247"/>
  </bookViews>
  <sheets>
    <sheet name="Packet Fromat " sheetId="1" r:id="rId1"/>
    <sheet name="Sheet2" sheetId="2" r:id="rId2"/>
  </sheets>
  <calcPr calcId="124519"/>
</workbook>
</file>

<file path=xl/calcChain.xml><?xml version="1.0" encoding="utf-8"?>
<calcChain xmlns="http://schemas.openxmlformats.org/spreadsheetml/2006/main">
  <c r="J64" i="1"/>
  <c r="B21" i="2" l="1"/>
  <c r="B23" s="1"/>
  <c r="B24" s="1"/>
  <c r="B20"/>
  <c r="B14"/>
  <c r="J66" i="1" l="1"/>
  <c r="J65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K69"/>
  <c r="K68"/>
  <c r="K78"/>
  <c r="K74"/>
  <c r="K67"/>
  <c r="K76"/>
  <c r="K71"/>
  <c r="K85"/>
  <c r="K81"/>
  <c r="K73"/>
  <c r="K77"/>
  <c r="K83"/>
  <c r="K84"/>
  <c r="K72"/>
  <c r="K65"/>
  <c r="K79"/>
  <c r="K80"/>
  <c r="K75"/>
  <c r="K70"/>
  <c r="K66"/>
  <c r="K82"/>
  <c r="B15" i="2" l="1"/>
  <c r="J11" i="1"/>
  <c r="J12"/>
  <c r="K12" s="1"/>
  <c r="J10"/>
  <c r="K10" s="1"/>
  <c r="J13"/>
  <c r="J14"/>
  <c r="K14" s="1"/>
  <c r="J15"/>
  <c r="J16"/>
  <c r="J17"/>
  <c r="K17" s="1"/>
  <c r="J18"/>
  <c r="J19"/>
  <c r="J20"/>
  <c r="J21"/>
  <c r="J22"/>
  <c r="J23"/>
  <c r="J24"/>
  <c r="K24" s="1"/>
  <c r="J25"/>
  <c r="K25" s="1"/>
  <c r="B7" i="2"/>
  <c r="B8"/>
  <c r="B18"/>
  <c r="K64" i="1"/>
  <c r="J30" l="1"/>
  <c r="K30" s="1"/>
  <c r="J31"/>
  <c r="K31" s="1"/>
  <c r="J32"/>
  <c r="K32" s="1"/>
  <c r="J33"/>
  <c r="K33" s="1"/>
  <c r="J34"/>
  <c r="K34" s="1"/>
  <c r="J35"/>
  <c r="K35" s="1"/>
  <c r="J36"/>
  <c r="K36" s="1"/>
  <c r="J37"/>
  <c r="K37" s="1"/>
  <c r="J38"/>
  <c r="K38" s="1"/>
  <c r="J39"/>
  <c r="K39" s="1"/>
  <c r="J40"/>
  <c r="K40" s="1"/>
  <c r="J41"/>
  <c r="K41" s="1"/>
  <c r="J42"/>
  <c r="K42" s="1"/>
  <c r="J43"/>
  <c r="K43" s="1"/>
  <c r="J44"/>
  <c r="K44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J54"/>
  <c r="K54" s="1"/>
  <c r="J55"/>
  <c r="K55" s="1"/>
  <c r="J56"/>
  <c r="K56" s="1"/>
  <c r="J57"/>
  <c r="K57" s="1"/>
  <c r="J58"/>
  <c r="K58" s="1"/>
  <c r="J59"/>
  <c r="K59" s="1"/>
  <c r="J60"/>
  <c r="K60" s="1"/>
  <c r="J61"/>
  <c r="K61" s="1"/>
  <c r="J62"/>
  <c r="K62" s="1"/>
  <c r="J63"/>
  <c r="K63" s="1"/>
  <c r="J29"/>
  <c r="K29" s="1"/>
  <c r="J28"/>
  <c r="K28" s="1"/>
  <c r="J27"/>
  <c r="K27" s="1"/>
  <c r="J26"/>
  <c r="K26" s="1"/>
  <c r="K16"/>
  <c r="B6" i="2"/>
  <c r="K13" i="1"/>
  <c r="B5" i="2"/>
  <c r="K23" i="1"/>
  <c r="K22"/>
  <c r="K21"/>
  <c r="K20"/>
  <c r="K19"/>
  <c r="K18"/>
  <c r="K11"/>
  <c r="B4" i="2" s="1"/>
  <c r="A3"/>
</calcChain>
</file>

<file path=xl/sharedStrings.xml><?xml version="1.0" encoding="utf-8"?>
<sst xmlns="http://schemas.openxmlformats.org/spreadsheetml/2006/main" count="418" uniqueCount="212">
  <si>
    <t>S.no</t>
  </si>
  <si>
    <t xml:space="preserve">Sequence of Data String </t>
  </si>
  <si>
    <t>Description</t>
  </si>
  <si>
    <t>Data Info</t>
  </si>
  <si>
    <t>Data Range</t>
  </si>
  <si>
    <t>Data Type</t>
  </si>
  <si>
    <t>Size</t>
  </si>
  <si>
    <t>Scale</t>
  </si>
  <si>
    <t>----------------------------------------------------------------------------------------------------------------------------------------------------------------------------------------------------</t>
  </si>
  <si>
    <t>Numerator</t>
  </si>
  <si>
    <t>Denominator</t>
  </si>
  <si>
    <t>#S</t>
  </si>
  <si>
    <t xml:space="preserve">Start of String / Packet </t>
  </si>
  <si>
    <t xml:space="preserve">Initail of the String </t>
  </si>
  <si>
    <t>Fixed</t>
  </si>
  <si>
    <t>ASCII</t>
  </si>
  <si>
    <t>F/P</t>
  </si>
  <si>
    <t>Faullt / Perodic Data</t>
  </si>
  <si>
    <t>*X (Details Below)</t>
  </si>
  <si>
    <t>Communication Mode</t>
  </si>
  <si>
    <t>0 - 9</t>
  </si>
  <si>
    <t>Unsigned Integer</t>
  </si>
  <si>
    <t>xxxx</t>
  </si>
  <si>
    <t>Software Version</t>
  </si>
  <si>
    <t>xx.xx</t>
  </si>
  <si>
    <t xml:space="preserve">Protocol Version </t>
  </si>
  <si>
    <t>xxxxxxxxxxxxxxxxxxxx</t>
  </si>
  <si>
    <t>IIPMS Serial Number</t>
  </si>
  <si>
    <t>Alpha - Numeric</t>
  </si>
  <si>
    <t>Number of Data Bytes</t>
  </si>
  <si>
    <t>0000 - 0XFFFF</t>
  </si>
  <si>
    <t>xxxxxxxxxx</t>
  </si>
  <si>
    <t>Site ID</t>
  </si>
  <si>
    <t>xx</t>
  </si>
  <si>
    <t>Date</t>
  </si>
  <si>
    <t>00 - 31</t>
  </si>
  <si>
    <t>Hours</t>
  </si>
  <si>
    <t>00 -24</t>
  </si>
  <si>
    <t>Minutes</t>
  </si>
  <si>
    <t>00 - 59</t>
  </si>
  <si>
    <t>Seconds</t>
  </si>
  <si>
    <t>Months</t>
  </si>
  <si>
    <t>00 -12</t>
  </si>
  <si>
    <t>Years</t>
  </si>
  <si>
    <t>00 - 99</t>
  </si>
  <si>
    <t>xxxxxx</t>
  </si>
  <si>
    <t>Alarm String</t>
  </si>
  <si>
    <t>Alarm Sting</t>
  </si>
  <si>
    <t>Hexadecimal</t>
  </si>
  <si>
    <t>Status String</t>
  </si>
  <si>
    <t>Rectifier power</t>
  </si>
  <si>
    <t xml:space="preserve">Measurement Data </t>
  </si>
  <si>
    <t>000 to 999.9</t>
  </si>
  <si>
    <t>Rectifier IP / Voltage</t>
  </si>
  <si>
    <t>Battery Capacity</t>
  </si>
  <si>
    <t>000 to 999</t>
  </si>
  <si>
    <t>Battery Current</t>
  </si>
  <si>
    <t>Rectifier Current</t>
  </si>
  <si>
    <t>Solar Current</t>
  </si>
  <si>
    <t>Wind Current</t>
  </si>
  <si>
    <t>Site Battery voltage DC</t>
  </si>
  <si>
    <t>Total Load Currnet</t>
  </si>
  <si>
    <t>Load Current 1</t>
  </si>
  <si>
    <t>Load Current 2</t>
  </si>
  <si>
    <t>Load Current 3</t>
  </si>
  <si>
    <t>Load Current 4</t>
  </si>
  <si>
    <t>Load Current 5</t>
  </si>
  <si>
    <t>Load Current 6</t>
  </si>
  <si>
    <t>Mains Voltage R</t>
  </si>
  <si>
    <t>Mains Voltage Y</t>
  </si>
  <si>
    <t xml:space="preserve">Mains Voltage B </t>
  </si>
  <si>
    <t>Mains Current RY</t>
  </si>
  <si>
    <t>Mains Current YB</t>
  </si>
  <si>
    <t>Mains Currnet BR</t>
  </si>
  <si>
    <t xml:space="preserve">Mains Frequency </t>
  </si>
  <si>
    <t xml:space="preserve">00.0 to 99.9 </t>
  </si>
  <si>
    <t>Gen Voltage R</t>
  </si>
  <si>
    <t>Gen Voltage Y</t>
  </si>
  <si>
    <t xml:space="preserve">Gen Voltage B </t>
  </si>
  <si>
    <t>Gen Current R</t>
  </si>
  <si>
    <t>Gen Current Y</t>
  </si>
  <si>
    <t>Gen Current B</t>
  </si>
  <si>
    <t xml:space="preserve">Gen Frequency </t>
  </si>
  <si>
    <t>Gen Power</t>
  </si>
  <si>
    <t>SVR Voltage</t>
  </si>
  <si>
    <t>SVR Current</t>
  </si>
  <si>
    <t>DOD</t>
  </si>
  <si>
    <t>Battery Data</t>
  </si>
  <si>
    <t>SOC</t>
  </si>
  <si>
    <t>Room Temp C</t>
  </si>
  <si>
    <t>Shelter</t>
  </si>
  <si>
    <t xml:space="preserve">Battery Temp </t>
  </si>
  <si>
    <t>Fuel %</t>
  </si>
  <si>
    <t>Genset</t>
  </si>
  <si>
    <t>Gen Batt Voltage</t>
  </si>
  <si>
    <t>xxxxxxxx</t>
  </si>
  <si>
    <t>EB / Mains Run Hours</t>
  </si>
  <si>
    <t>Run Hours Data</t>
  </si>
  <si>
    <t>000000.0 to 9999999.9</t>
  </si>
  <si>
    <t>IEEE - 754 Float (SP)</t>
  </si>
  <si>
    <t>DG Running Total Run Hours</t>
  </si>
  <si>
    <t>DG Running Auto Mode</t>
  </si>
  <si>
    <t>DG Running Manual Mode</t>
  </si>
  <si>
    <t>Battery Run Hours</t>
  </si>
  <si>
    <t>Solar Run Hours</t>
  </si>
  <si>
    <t>Wind Run Hours</t>
  </si>
  <si>
    <t>Battery Charge Cycle Count</t>
  </si>
  <si>
    <t>Battery Discharge Cycle Count</t>
  </si>
  <si>
    <t xml:space="preserve">Total Rectifier Energy </t>
  </si>
  <si>
    <t>Energy Data</t>
  </si>
  <si>
    <t>I/P Mains Kwh</t>
  </si>
  <si>
    <t>DG Energy Kwh</t>
  </si>
  <si>
    <t>Battery Energy Kwh</t>
  </si>
  <si>
    <t>Solar Energy Kwh</t>
  </si>
  <si>
    <t>Wind Enrgy Kwh</t>
  </si>
  <si>
    <t>Load 1 Kwh</t>
  </si>
  <si>
    <t>Load 2 Kwh</t>
  </si>
  <si>
    <t>Load 3 Kwh</t>
  </si>
  <si>
    <t>Load 4 Kwh</t>
  </si>
  <si>
    <t>Load 5 kwh</t>
  </si>
  <si>
    <t>Load 6 Kwh</t>
  </si>
  <si>
    <t xml:space="preserve">Total Load Energy </t>
  </si>
  <si>
    <t>N</t>
  </si>
  <si>
    <t>Data of RS485 (Modbus)</t>
  </si>
  <si>
    <t>Future</t>
  </si>
  <si>
    <t xml:space="preserve">Decimal </t>
  </si>
  <si>
    <t xml:space="preserve">Termination of String </t>
  </si>
  <si>
    <t>End of String</t>
  </si>
  <si>
    <t>.</t>
  </si>
  <si>
    <t>X</t>
  </si>
  <si>
    <t>Mode</t>
  </si>
  <si>
    <t>GPRS or SMS</t>
  </si>
  <si>
    <t>High Priority of GPRS in case on unavailabilty SMS</t>
  </si>
  <si>
    <t>GPRS</t>
  </si>
  <si>
    <t>Only GPRS</t>
  </si>
  <si>
    <t>SMS</t>
  </si>
  <si>
    <t>Only SMS</t>
  </si>
  <si>
    <t xml:space="preserve">GPRS, SMS </t>
  </si>
  <si>
    <t>GPRS/ SMS Both</t>
  </si>
  <si>
    <t>00c8</t>
  </si>
  <si>
    <t>0a28</t>
  </si>
  <si>
    <t>(MOD(HEX2DEC(A9)+2^15,2^16)-2^15)/10</t>
  </si>
  <si>
    <t>46bd1167</t>
  </si>
  <si>
    <t>Packet Breakup</t>
  </si>
  <si>
    <t>Packet Value</t>
  </si>
  <si>
    <t>000000000cba</t>
  </si>
  <si>
    <t>462a5400</t>
  </si>
  <si>
    <t>494e2d31333132353532</t>
  </si>
  <si>
    <t>Paste the RAW packet in the below red box</t>
  </si>
  <si>
    <t>224 -228</t>
  </si>
  <si>
    <t>220 -224</t>
  </si>
  <si>
    <t>216 -220</t>
  </si>
  <si>
    <t>232-236</t>
  </si>
  <si>
    <t>236-240</t>
  </si>
  <si>
    <t>240-244</t>
  </si>
  <si>
    <t>244-248</t>
  </si>
  <si>
    <t>248-252</t>
  </si>
  <si>
    <t>252-256</t>
  </si>
  <si>
    <t>256-260</t>
  </si>
  <si>
    <t>260-264</t>
  </si>
  <si>
    <t>276-280</t>
  </si>
  <si>
    <t>264-268</t>
  </si>
  <si>
    <t>268-272</t>
  </si>
  <si>
    <t>272-276</t>
  </si>
  <si>
    <t>280-288</t>
  </si>
  <si>
    <t>288-296</t>
  </si>
  <si>
    <t>296-304</t>
  </si>
  <si>
    <t>304-312</t>
  </si>
  <si>
    <t>312-320</t>
  </si>
  <si>
    <t>212-216</t>
  </si>
  <si>
    <t>208-212</t>
  </si>
  <si>
    <t>204-208</t>
  </si>
  <si>
    <t>200-204</t>
  </si>
  <si>
    <t>196-200</t>
  </si>
  <si>
    <t>192-196</t>
  </si>
  <si>
    <t>188-192</t>
  </si>
  <si>
    <t>184-188</t>
  </si>
  <si>
    <t>180-184</t>
  </si>
  <si>
    <t>176-180</t>
  </si>
  <si>
    <t>172-176</t>
  </si>
  <si>
    <t>168-172</t>
  </si>
  <si>
    <t>164-168</t>
  </si>
  <si>
    <t>160-164</t>
  </si>
  <si>
    <t>156-160</t>
  </si>
  <si>
    <t>152-156</t>
  </si>
  <si>
    <t>148-152</t>
  </si>
  <si>
    <t>144-148</t>
  </si>
  <si>
    <t>140-144</t>
  </si>
  <si>
    <t>136-140</t>
  </si>
  <si>
    <t>132-136</t>
  </si>
  <si>
    <t>128-132</t>
  </si>
  <si>
    <t>228-232</t>
  </si>
  <si>
    <t>320-328</t>
  </si>
  <si>
    <t>328-336</t>
  </si>
  <si>
    <t>336-344</t>
  </si>
  <si>
    <t>344-352</t>
  </si>
  <si>
    <t>352-360</t>
  </si>
  <si>
    <t>360-368</t>
  </si>
  <si>
    <t>368-376</t>
  </si>
  <si>
    <t>376-384</t>
  </si>
  <si>
    <t>384-392</t>
  </si>
  <si>
    <t>392-400</t>
  </si>
  <si>
    <t>400-408</t>
  </si>
  <si>
    <t>408-416</t>
  </si>
  <si>
    <t>416-424</t>
  </si>
  <si>
    <t>424-432</t>
  </si>
  <si>
    <t>432-440</t>
  </si>
  <si>
    <t>440-448</t>
  </si>
  <si>
    <t>448-456</t>
  </si>
  <si>
    <t>2353503100c80064313233343536373839303132333435363738393000e55644474a484d30313236313031313435323731323230000040000000000000000c9a0056065b02580000065b00000000021106000000022201f901e50000000009e8088809370000010d007a01f40008000000000000000000000000000000000000000003e801dd01a000000083468a1f9a402000003f333333000000004387199a0000000000000000000000000000000047e6180047edba0040c00000449d800000000000000000004690f60046f88e00471a2f0046afa000000000000000000047db61002e</t>
  </si>
  <si>
    <t>116-128</t>
  </si>
  <si>
    <t>104-116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</si>
</sst>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333333"/>
      <name val="Verdana"/>
      <family val="2"/>
    </font>
    <font>
      <sz val="12"/>
      <color rgb="FF000000"/>
      <name val="Open Sans"/>
    </font>
    <font>
      <sz val="11"/>
      <color rgb="FF000000"/>
      <name val="Calibri"/>
      <family val="2"/>
      <scheme val="minor"/>
    </font>
    <font>
      <b/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3.5"/>
      <color theme="1"/>
      <name val="Times New Roman"/>
      <family val="1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rgb="FF92D050"/>
      </top>
      <bottom/>
      <diagonal/>
    </border>
  </borders>
  <cellStyleXfs count="2">
    <xf numFmtId="0" fontId="0" fillId="0" borderId="0"/>
    <xf numFmtId="0" fontId="10" fillId="0" borderId="0"/>
  </cellStyleXfs>
  <cellXfs count="9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5" fillId="0" borderId="0" xfId="0" applyFont="1"/>
    <xf numFmtId="0" fontId="0" fillId="0" borderId="0" xfId="0" applyAlignment="1">
      <alignment wrapText="1"/>
    </xf>
    <xf numFmtId="0" fontId="6" fillId="0" borderId="0" xfId="0" applyFont="1"/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2" xfId="0" applyFill="1" applyBorder="1" applyAlignment="1">
      <alignment horizontal="center" vertical="center"/>
    </xf>
    <xf numFmtId="0" fontId="5" fillId="0" borderId="12" xfId="0" applyFont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0" fillId="0" borderId="19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1" fillId="0" borderId="20" xfId="0" applyFont="1" applyFill="1" applyBorder="1" applyAlignment="1">
      <alignment horizontal="center" vertical="center"/>
    </xf>
    <xf numFmtId="0" fontId="1" fillId="0" borderId="3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/>
    <xf numFmtId="0" fontId="0" fillId="0" borderId="32" xfId="0" applyBorder="1" applyAlignment="1">
      <alignment wrapText="1"/>
    </xf>
    <xf numFmtId="0" fontId="9" fillId="0" borderId="0" xfId="0" applyFont="1" applyAlignment="1">
      <alignment horizontal="left" vertical="center"/>
    </xf>
    <xf numFmtId="0" fontId="0" fillId="0" borderId="0" xfId="0" applyBorder="1" applyAlignment="1">
      <alignment wrapText="1"/>
    </xf>
    <xf numFmtId="0" fontId="11" fillId="0" borderId="0" xfId="0" applyFont="1" applyAlignment="1">
      <alignment wrapText="1"/>
    </xf>
    <xf numFmtId="0" fontId="2" fillId="2" borderId="24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0" borderId="4" xfId="0" quotePrefix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L95"/>
  <sheetViews>
    <sheetView tabSelected="1" topLeftCell="A10" zoomScale="90" zoomScaleNormal="90" workbookViewId="0">
      <selection activeCell="C24" sqref="C24"/>
    </sheetView>
  </sheetViews>
  <sheetFormatPr defaultColWidth="9.140625" defaultRowHeight="15"/>
  <cols>
    <col min="1" max="1" width="12.7109375" style="3" customWidth="1"/>
    <col min="2" max="2" width="22.85546875" style="3" bestFit="1" customWidth="1"/>
    <col min="3" max="3" width="27.7109375" style="3" customWidth="1"/>
    <col min="4" max="4" width="29.28515625" style="3" hidden="1" customWidth="1"/>
    <col min="5" max="5" width="21.7109375" style="3" hidden="1" customWidth="1"/>
    <col min="6" max="6" width="20.140625" style="3" hidden="1" customWidth="1"/>
    <col min="7" max="7" width="5.140625" style="3" hidden="1" customWidth="1"/>
    <col min="8" max="8" width="10.85546875" style="3" hidden="1" customWidth="1"/>
    <col min="9" max="9" width="19.28515625" style="3" hidden="1" customWidth="1"/>
    <col min="10" max="10" width="14.7109375" style="3" bestFit="1" customWidth="1"/>
    <col min="11" max="11" width="35.7109375" style="3" bestFit="1" customWidth="1"/>
    <col min="12" max="12" width="13.42578125" style="3" bestFit="1" customWidth="1"/>
    <col min="13" max="16384" width="9.140625" style="3"/>
  </cols>
  <sheetData>
    <row r="2" spans="1:11" ht="15.75">
      <c r="A2" s="71" t="s">
        <v>148</v>
      </c>
    </row>
    <row r="3" spans="1:11" ht="15" customHeight="1">
      <c r="A3" s="73" t="s">
        <v>209</v>
      </c>
      <c r="B3" s="48"/>
      <c r="C3" s="48"/>
      <c r="D3" s="48"/>
      <c r="E3" s="48"/>
      <c r="F3" s="48"/>
      <c r="G3" s="48"/>
      <c r="H3" s="48"/>
      <c r="I3" s="48"/>
    </row>
    <row r="4" spans="1:11">
      <c r="A4" s="48"/>
      <c r="B4" s="48"/>
      <c r="C4" s="48"/>
      <c r="D4" s="48"/>
      <c r="E4" s="48"/>
      <c r="F4" s="48"/>
      <c r="G4" s="48"/>
      <c r="H4" s="48"/>
      <c r="I4" s="48"/>
    </row>
    <row r="5" spans="1:11">
      <c r="A5" s="70"/>
      <c r="B5" s="72"/>
      <c r="C5" s="48"/>
      <c r="D5" s="48"/>
      <c r="E5" s="48"/>
      <c r="F5" s="48"/>
      <c r="G5" s="48"/>
      <c r="H5" s="48"/>
      <c r="I5" s="48"/>
    </row>
    <row r="6" spans="1:11">
      <c r="A6" s="48"/>
      <c r="B6" s="48"/>
      <c r="C6" s="48"/>
      <c r="D6" s="48"/>
      <c r="E6" s="48"/>
      <c r="F6" s="48"/>
      <c r="G6" s="48"/>
      <c r="H6" s="48"/>
      <c r="I6" s="48"/>
    </row>
    <row r="7" spans="1:11" ht="15.75" thickBot="1"/>
    <row r="8" spans="1:11" ht="15.75" thickBot="1">
      <c r="A8" s="1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84" t="s">
        <v>7</v>
      </c>
      <c r="I8" s="85"/>
      <c r="J8" s="74" t="s">
        <v>143</v>
      </c>
      <c r="K8" s="74" t="s">
        <v>144</v>
      </c>
    </row>
    <row r="9" spans="1:11" ht="15.75" thickBot="1">
      <c r="A9" s="86" t="s">
        <v>8</v>
      </c>
      <c r="B9" s="87"/>
      <c r="C9" s="87"/>
      <c r="D9" s="87"/>
      <c r="E9" s="87"/>
      <c r="F9" s="87"/>
      <c r="G9" s="88"/>
      <c r="H9" s="4" t="s">
        <v>9</v>
      </c>
      <c r="I9" s="5" t="s">
        <v>10</v>
      </c>
      <c r="J9" s="75"/>
      <c r="K9" s="75"/>
    </row>
    <row r="10" spans="1:11">
      <c r="A10" s="6">
        <v>1</v>
      </c>
      <c r="B10" s="7" t="s">
        <v>11</v>
      </c>
      <c r="C10" s="7" t="s">
        <v>12</v>
      </c>
      <c r="D10" s="89" t="s">
        <v>13</v>
      </c>
      <c r="E10" s="7" t="s">
        <v>14</v>
      </c>
      <c r="F10" s="7" t="s">
        <v>15</v>
      </c>
      <c r="G10" s="7">
        <v>2</v>
      </c>
      <c r="H10" s="8"/>
      <c r="I10" s="50"/>
      <c r="J10" s="10" t="str">
        <f>MID($A$3,1,4)</f>
        <v>2353</v>
      </c>
      <c r="K10" s="60" t="str">
        <f>CONCATENATE(CHAR(HEX2DEC(MID(J10,1,2))),CHAR(HEX2DEC(MID(J10,3,2))))</f>
        <v>#S</v>
      </c>
    </row>
    <row r="11" spans="1:11">
      <c r="A11" s="9">
        <v>2</v>
      </c>
      <c r="B11" s="10" t="s">
        <v>16</v>
      </c>
      <c r="C11" s="10" t="s">
        <v>17</v>
      </c>
      <c r="D11" s="90"/>
      <c r="E11" s="10" t="s">
        <v>14</v>
      </c>
      <c r="F11" s="10" t="s">
        <v>15</v>
      </c>
      <c r="G11" s="10">
        <v>1</v>
      </c>
      <c r="H11" s="11"/>
      <c r="I11" s="51"/>
      <c r="J11" s="10" t="str">
        <f>MID($A$3,SUM($G$10:G10)*2+1,2)</f>
        <v>50</v>
      </c>
      <c r="K11" s="60" t="str">
        <f>CHAR(HEX2DEC(MID(J11,1,2)))</f>
        <v>P</v>
      </c>
    </row>
    <row r="12" spans="1:11">
      <c r="A12" s="9">
        <v>3</v>
      </c>
      <c r="B12" s="10" t="s">
        <v>18</v>
      </c>
      <c r="C12" s="10" t="s">
        <v>19</v>
      </c>
      <c r="D12" s="90"/>
      <c r="E12" s="10" t="s">
        <v>20</v>
      </c>
      <c r="F12" s="10" t="s">
        <v>15</v>
      </c>
      <c r="G12" s="10">
        <v>1</v>
      </c>
      <c r="H12" s="11"/>
      <c r="I12" s="51"/>
      <c r="J12" s="10" t="str">
        <f>MID($A$3,SUM($G$10:G11)*2+1,2)</f>
        <v>31</v>
      </c>
      <c r="K12" s="60" t="str">
        <f>CHAR(HEX2DEC(MID(J12,1,2)))</f>
        <v>1</v>
      </c>
    </row>
    <row r="13" spans="1:11">
      <c r="A13" s="9">
        <v>4</v>
      </c>
      <c r="B13" s="10" t="s">
        <v>22</v>
      </c>
      <c r="C13" s="10" t="s">
        <v>23</v>
      </c>
      <c r="D13" s="90"/>
      <c r="E13" s="10" t="s">
        <v>24</v>
      </c>
      <c r="F13" s="10" t="s">
        <v>21</v>
      </c>
      <c r="G13" s="10">
        <v>2</v>
      </c>
      <c r="H13" s="11">
        <v>100</v>
      </c>
      <c r="I13" s="51"/>
      <c r="J13" s="10" t="str">
        <f>MID($A$3,SUM($G$10:G12)*2+1,4)</f>
        <v>00c8</v>
      </c>
      <c r="K13" s="61">
        <f>HEX2DEC(J13)/100</f>
        <v>2</v>
      </c>
    </row>
    <row r="14" spans="1:11">
      <c r="A14" s="9">
        <v>5</v>
      </c>
      <c r="B14" s="10" t="s">
        <v>22</v>
      </c>
      <c r="C14" s="10" t="s">
        <v>25</v>
      </c>
      <c r="D14" s="90"/>
      <c r="E14" s="10" t="s">
        <v>24</v>
      </c>
      <c r="F14" s="10" t="s">
        <v>21</v>
      </c>
      <c r="G14" s="10">
        <v>2</v>
      </c>
      <c r="H14" s="11">
        <v>100</v>
      </c>
      <c r="I14" s="51"/>
      <c r="J14" s="10" t="str">
        <f>MID($A$3,SUM($G$10:G13)*2+1,4)</f>
        <v>0064</v>
      </c>
      <c r="K14" s="61">
        <f>HEX2DEC(J14)/100</f>
        <v>1</v>
      </c>
    </row>
    <row r="15" spans="1:11">
      <c r="A15" s="9">
        <v>6</v>
      </c>
      <c r="B15" s="10" t="s">
        <v>26</v>
      </c>
      <c r="C15" s="10" t="s">
        <v>27</v>
      </c>
      <c r="D15" s="90"/>
      <c r="E15" s="10"/>
      <c r="F15" s="10" t="s">
        <v>28</v>
      </c>
      <c r="G15" s="10">
        <v>20</v>
      </c>
      <c r="H15" s="11"/>
      <c r="I15" s="51"/>
      <c r="J15" s="10" t="str">
        <f>MID($A$3,SUM($G$10:G14)*2+1,40)</f>
        <v>3132333435363738393031323334353637383930</v>
      </c>
      <c r="K15" s="59"/>
    </row>
    <row r="16" spans="1:11">
      <c r="A16" s="9">
        <v>7</v>
      </c>
      <c r="B16" s="11" t="s">
        <v>22</v>
      </c>
      <c r="C16" s="11" t="s">
        <v>29</v>
      </c>
      <c r="D16" s="90"/>
      <c r="E16" s="11" t="s">
        <v>30</v>
      </c>
      <c r="F16" s="11" t="s">
        <v>21</v>
      </c>
      <c r="G16" s="11">
        <v>2</v>
      </c>
      <c r="H16" s="11"/>
      <c r="I16" s="51"/>
      <c r="J16" s="10" t="str">
        <f>MID($A$3,SUM($G$10:G15)*2+1,4)</f>
        <v>00e5</v>
      </c>
      <c r="K16" s="61">
        <f>HEX2DEC(J16)</f>
        <v>229</v>
      </c>
    </row>
    <row r="17" spans="1:12">
      <c r="A17" s="9">
        <v>8</v>
      </c>
      <c r="B17" s="10" t="s">
        <v>31</v>
      </c>
      <c r="C17" s="10" t="s">
        <v>32</v>
      </c>
      <c r="D17" s="90"/>
      <c r="E17" s="10" t="s">
        <v>31</v>
      </c>
      <c r="F17" s="10" t="s">
        <v>28</v>
      </c>
      <c r="G17" s="10">
        <v>10</v>
      </c>
      <c r="H17" s="11"/>
      <c r="I17" s="51"/>
      <c r="J17" s="10" t="str">
        <f>MID($A$3,SUM($G$10:G16)*2+1,20)</f>
        <v>5644474a484d30313236</v>
      </c>
      <c r="K17" s="60" t="str">
        <f>CONCATENATE(CHAR(HEX2DEC(MID(J17,1,2))),CHAR(HEX2DEC(MID(J17,3,2))),CHAR(HEX2DEC(MID(J17,5,2))),CHAR(HEX2DEC(MID(J17,7,2))),CHAR(HEX2DEC(MID(J17,9,2))),CHAR(HEX2DEC(MID(J17,11,2))),CHAR(HEX2DEC(MID(J17,13,2))),CHAR(HEX2DEC(MID(J17,15,2))),CHAR(HEX2DEC(MID(J17,17,2))),CHAR(HEX2DEC(MID(J17,19,2))))</f>
        <v>VDGJHM0126</v>
      </c>
    </row>
    <row r="18" spans="1:12">
      <c r="A18" s="9">
        <v>9</v>
      </c>
      <c r="B18" s="10" t="s">
        <v>33</v>
      </c>
      <c r="C18" s="10" t="s">
        <v>34</v>
      </c>
      <c r="D18" s="90"/>
      <c r="E18" s="10" t="s">
        <v>35</v>
      </c>
      <c r="F18" s="10" t="s">
        <v>15</v>
      </c>
      <c r="G18" s="10">
        <v>2</v>
      </c>
      <c r="H18" s="11"/>
      <c r="I18" s="51"/>
      <c r="J18" s="10" t="str">
        <f>MID($A$3,SUM($G$10:G17)*2+1,4)</f>
        <v>3130</v>
      </c>
      <c r="K18" s="60" t="str">
        <f>CONCATENATE(CHAR(HEX2DEC(MID(J18,1,2))),CHAR(HEX2DEC(MID(J18,3,2))))</f>
        <v>10</v>
      </c>
    </row>
    <row r="19" spans="1:12">
      <c r="A19" s="9">
        <v>10</v>
      </c>
      <c r="B19" s="10" t="s">
        <v>33</v>
      </c>
      <c r="C19" s="10" t="s">
        <v>36</v>
      </c>
      <c r="D19" s="90"/>
      <c r="E19" s="10" t="s">
        <v>37</v>
      </c>
      <c r="F19" s="10" t="s">
        <v>15</v>
      </c>
      <c r="G19" s="10">
        <v>2</v>
      </c>
      <c r="H19" s="11"/>
      <c r="I19" s="51"/>
      <c r="J19" s="10" t="str">
        <f>MID($A$3,SUM($G$10:G18)*2+1,4)</f>
        <v>3131</v>
      </c>
      <c r="K19" s="60" t="str">
        <f t="shared" ref="K19:K23" si="0">CONCATENATE(CHAR(HEX2DEC(MID(J19,1,2))),CHAR(HEX2DEC(MID(J19,3,2))))</f>
        <v>11</v>
      </c>
    </row>
    <row r="20" spans="1:12">
      <c r="A20" s="9">
        <v>11</v>
      </c>
      <c r="B20" s="10" t="s">
        <v>33</v>
      </c>
      <c r="C20" s="10" t="s">
        <v>38</v>
      </c>
      <c r="D20" s="90"/>
      <c r="E20" s="10" t="s">
        <v>39</v>
      </c>
      <c r="F20" s="10" t="s">
        <v>15</v>
      </c>
      <c r="G20" s="10">
        <v>2</v>
      </c>
      <c r="H20" s="11"/>
      <c r="I20" s="51"/>
      <c r="J20" s="10" t="str">
        <f>MID($A$3,SUM($G$10:G19)*2+1,4)</f>
        <v>3435</v>
      </c>
      <c r="K20" s="60" t="str">
        <f t="shared" si="0"/>
        <v>45</v>
      </c>
    </row>
    <row r="21" spans="1:12">
      <c r="A21" s="9">
        <v>12</v>
      </c>
      <c r="B21" s="10" t="s">
        <v>33</v>
      </c>
      <c r="C21" s="10" t="s">
        <v>40</v>
      </c>
      <c r="D21" s="90"/>
      <c r="E21" s="10" t="s">
        <v>39</v>
      </c>
      <c r="F21" s="10" t="s">
        <v>15</v>
      </c>
      <c r="G21" s="10">
        <v>2</v>
      </c>
      <c r="H21" s="11"/>
      <c r="I21" s="51"/>
      <c r="J21" s="10" t="str">
        <f>MID($A$3,SUM($G$10:G20)*2+1,4)</f>
        <v>3237</v>
      </c>
      <c r="K21" s="60" t="str">
        <f t="shared" si="0"/>
        <v>27</v>
      </c>
    </row>
    <row r="22" spans="1:12">
      <c r="A22" s="9">
        <v>13</v>
      </c>
      <c r="B22" s="10" t="s">
        <v>33</v>
      </c>
      <c r="C22" s="10" t="s">
        <v>41</v>
      </c>
      <c r="D22" s="90"/>
      <c r="E22" s="10" t="s">
        <v>42</v>
      </c>
      <c r="F22" s="10" t="s">
        <v>15</v>
      </c>
      <c r="G22" s="10">
        <v>2</v>
      </c>
      <c r="H22" s="11"/>
      <c r="I22" s="51"/>
      <c r="J22" s="10" t="str">
        <f>MID($A$3,SUM($G$10:G21)*2+1,4)</f>
        <v>3132</v>
      </c>
      <c r="K22" s="60" t="str">
        <f t="shared" si="0"/>
        <v>12</v>
      </c>
    </row>
    <row r="23" spans="1:12" ht="15.75" thickBot="1">
      <c r="A23" s="12">
        <v>14</v>
      </c>
      <c r="B23" s="13" t="s">
        <v>33</v>
      </c>
      <c r="C23" s="13" t="s">
        <v>43</v>
      </c>
      <c r="D23" s="91"/>
      <c r="E23" s="13" t="s">
        <v>44</v>
      </c>
      <c r="F23" s="13" t="s">
        <v>15</v>
      </c>
      <c r="G23" s="13">
        <v>2</v>
      </c>
      <c r="H23" s="14"/>
      <c r="I23" s="52"/>
      <c r="J23" s="10" t="str">
        <f>MID($A$3,SUM($G$10:G22)*2+1,4)</f>
        <v>3230</v>
      </c>
      <c r="K23" s="60" t="str">
        <f t="shared" si="0"/>
        <v>20</v>
      </c>
    </row>
    <row r="24" spans="1:12" ht="15.75" thickBot="1">
      <c r="A24" s="15">
        <v>15</v>
      </c>
      <c r="B24" s="16" t="s">
        <v>45</v>
      </c>
      <c r="C24" s="17" t="s">
        <v>46</v>
      </c>
      <c r="D24" s="16" t="s">
        <v>47</v>
      </c>
      <c r="E24" s="16"/>
      <c r="F24" s="16" t="s">
        <v>48</v>
      </c>
      <c r="G24" s="16">
        <v>6</v>
      </c>
      <c r="H24" s="17"/>
      <c r="I24" s="53"/>
      <c r="J24" s="10" t="str">
        <f>MID($A$3,SUM($G$10:G23)*2+1,12)</f>
        <v>000040000000</v>
      </c>
      <c r="K24" s="10" t="str">
        <f>CONCATENATE(HEX2BIN(MID(J24,1,1)),"  ",HEX2BIN(MID(J24,2,1)),"  ",HEX2BIN(MID(J24,3,1)),"  ",HEX2BIN(MID(J24,4,1)),"  ",HEX2BIN(MID(J24,5,1)),"  ",HEX2BIN(MID(J24,6,1)),"  ",HEX2BIN(MID(J24,7,1)),"  ",HEX2BIN(MID(J24,8,1)),"  ",HEX2BIN(MID(J24,9,1)),"  ",HEX2BIN(MID(J24,10,1)),"  ",HEX2BIN(MID(J24,11,1)),"  ",HEX2BIN(MID(J24,12,1)))</f>
        <v>0  0  0  0  100  0  0  0  0  0  0  0</v>
      </c>
      <c r="L24" s="3" t="s">
        <v>211</v>
      </c>
    </row>
    <row r="25" spans="1:12" ht="15.75" thickBot="1">
      <c r="A25" s="15">
        <v>16</v>
      </c>
      <c r="B25" s="16" t="s">
        <v>45</v>
      </c>
      <c r="C25" s="16" t="s">
        <v>49</v>
      </c>
      <c r="D25" s="16" t="s">
        <v>49</v>
      </c>
      <c r="E25" s="16"/>
      <c r="F25" s="16" t="s">
        <v>48</v>
      </c>
      <c r="G25" s="16">
        <v>6</v>
      </c>
      <c r="H25" s="17"/>
      <c r="I25" s="53"/>
      <c r="J25" s="10" t="str">
        <f>MID($A$3,SUM($G$10:G24)*2+1,12)</f>
        <v>000000000c9a</v>
      </c>
      <c r="K25" s="10" t="str">
        <f>CONCATENATE(HEX2BIN(MID(J25,1,1)),"  ",HEX2BIN(MID(J25,2,1)),"  ",HEX2BIN(MID(J25,3,1)),"  ",HEX2BIN(MID(J25,4,1)),"  ",HEX2BIN(MID(J25,5,1)),"  ",HEX2BIN(MID(J25,6,1)),"  ",HEX2BIN(MID(J25,7,1)),"  ",HEX2BIN(MID(J25,8,1)),"  ",HEX2BIN(MID(J25,9,1)),"  ",HEX2BIN(MID(J25,10,1)),"  ",HEX2BIN(MID(J25,11,1)),"  ",HEX2BIN(MID(J25,12,1)))</f>
        <v>0  0  0  0  0  0  0  0  0  1100  1001  1010</v>
      </c>
      <c r="L25" s="3" t="s">
        <v>210</v>
      </c>
    </row>
    <row r="26" spans="1:12">
      <c r="A26" s="6">
        <v>17</v>
      </c>
      <c r="B26" s="7" t="s">
        <v>22</v>
      </c>
      <c r="C26" s="7" t="s">
        <v>50</v>
      </c>
      <c r="D26" s="81" t="s">
        <v>51</v>
      </c>
      <c r="E26" s="7" t="s">
        <v>52</v>
      </c>
      <c r="F26" s="7" t="s">
        <v>21</v>
      </c>
      <c r="G26" s="7">
        <v>2</v>
      </c>
      <c r="H26" s="8">
        <v>10</v>
      </c>
      <c r="I26" s="50">
        <v>1</v>
      </c>
      <c r="J26" s="10" t="str">
        <f>MID($A$3,SUM($G$10:G25)*2+1,4)</f>
        <v>0056</v>
      </c>
      <c r="K26" s="62">
        <f>HEX2DEC(J26)/10</f>
        <v>8.6</v>
      </c>
      <c r="L26" s="3" t="s">
        <v>190</v>
      </c>
    </row>
    <row r="27" spans="1:12">
      <c r="A27" s="9">
        <v>18</v>
      </c>
      <c r="B27" s="10" t="s">
        <v>22</v>
      </c>
      <c r="C27" s="10" t="s">
        <v>53</v>
      </c>
      <c r="D27" s="82"/>
      <c r="E27" s="10" t="s">
        <v>52</v>
      </c>
      <c r="F27" s="10" t="s">
        <v>21</v>
      </c>
      <c r="G27" s="10">
        <v>2</v>
      </c>
      <c r="H27" s="11">
        <v>10</v>
      </c>
      <c r="I27" s="51">
        <v>1</v>
      </c>
      <c r="J27" s="10" t="str">
        <f>MID($A$3,SUM($G$10:G26)*2+1,4)</f>
        <v>065b</v>
      </c>
      <c r="K27" s="62">
        <f t="shared" ref="K27:K63" si="1">HEX2DEC(J27)/10</f>
        <v>162.69999999999999</v>
      </c>
      <c r="L27" s="3" t="s">
        <v>189</v>
      </c>
    </row>
    <row r="28" spans="1:12">
      <c r="A28" s="9">
        <v>19</v>
      </c>
      <c r="B28" s="10" t="s">
        <v>22</v>
      </c>
      <c r="C28" s="10" t="s">
        <v>54</v>
      </c>
      <c r="D28" s="82"/>
      <c r="E28" s="10" t="s">
        <v>55</v>
      </c>
      <c r="F28" s="10" t="s">
        <v>21</v>
      </c>
      <c r="G28" s="10">
        <v>2</v>
      </c>
      <c r="H28" s="11">
        <v>1</v>
      </c>
      <c r="I28" s="51">
        <v>1</v>
      </c>
      <c r="J28" s="10" t="str">
        <f>MID($A$3,SUM($G$10:G27)*2+1,4)</f>
        <v>0258</v>
      </c>
      <c r="K28" s="62">
        <f>HEX2DEC(J28)/1</f>
        <v>600</v>
      </c>
      <c r="L28" s="3" t="s">
        <v>188</v>
      </c>
    </row>
    <row r="29" spans="1:12">
      <c r="A29" s="9">
        <v>20</v>
      </c>
      <c r="B29" s="10" t="s">
        <v>22</v>
      </c>
      <c r="C29" s="11" t="s">
        <v>56</v>
      </c>
      <c r="D29" s="82"/>
      <c r="E29" s="10" t="s">
        <v>52</v>
      </c>
      <c r="F29" s="10" t="s">
        <v>21</v>
      </c>
      <c r="G29" s="10">
        <v>2</v>
      </c>
      <c r="H29" s="11">
        <v>10</v>
      </c>
      <c r="I29" s="51">
        <v>1</v>
      </c>
      <c r="J29" s="10" t="str">
        <f>MID($A$3,SUM($G$10:G28)*2+1,4)</f>
        <v>0000</v>
      </c>
      <c r="K29" s="62">
        <f t="shared" si="1"/>
        <v>0</v>
      </c>
      <c r="L29" s="3" t="s">
        <v>187</v>
      </c>
    </row>
    <row r="30" spans="1:12">
      <c r="A30" s="9">
        <v>21</v>
      </c>
      <c r="B30" s="10" t="s">
        <v>22</v>
      </c>
      <c r="C30" s="10" t="s">
        <v>57</v>
      </c>
      <c r="D30" s="82"/>
      <c r="E30" s="10" t="s">
        <v>52</v>
      </c>
      <c r="F30" s="10" t="s">
        <v>21</v>
      </c>
      <c r="G30" s="10">
        <v>2</v>
      </c>
      <c r="H30" s="11">
        <v>10</v>
      </c>
      <c r="I30" s="51">
        <v>1</v>
      </c>
      <c r="J30" s="10" t="str">
        <f>MID($A$3,SUM($G$10:G29)*2+1,4)</f>
        <v>065b</v>
      </c>
      <c r="K30" s="62">
        <f t="shared" si="1"/>
        <v>162.69999999999999</v>
      </c>
      <c r="L30" s="3" t="s">
        <v>186</v>
      </c>
    </row>
    <row r="31" spans="1:12">
      <c r="A31" s="9">
        <v>22</v>
      </c>
      <c r="B31" s="10" t="s">
        <v>22</v>
      </c>
      <c r="C31" s="10" t="s">
        <v>58</v>
      </c>
      <c r="D31" s="82"/>
      <c r="E31" s="10" t="s">
        <v>52</v>
      </c>
      <c r="F31" s="10" t="s">
        <v>21</v>
      </c>
      <c r="G31" s="10">
        <v>2</v>
      </c>
      <c r="H31" s="11">
        <v>10</v>
      </c>
      <c r="I31" s="51">
        <v>1</v>
      </c>
      <c r="J31" s="10" t="str">
        <f>MID($A$3,SUM($G$10:G30)*2+1,4)</f>
        <v>0000</v>
      </c>
      <c r="K31" s="62">
        <f t="shared" si="1"/>
        <v>0</v>
      </c>
      <c r="L31" s="3" t="s">
        <v>185</v>
      </c>
    </row>
    <row r="32" spans="1:12">
      <c r="A32" s="9">
        <v>23</v>
      </c>
      <c r="B32" s="10" t="s">
        <v>22</v>
      </c>
      <c r="C32" s="10" t="s">
        <v>59</v>
      </c>
      <c r="D32" s="82"/>
      <c r="E32" s="10" t="s">
        <v>52</v>
      </c>
      <c r="F32" s="10" t="s">
        <v>21</v>
      </c>
      <c r="G32" s="10">
        <v>2</v>
      </c>
      <c r="H32" s="11">
        <v>10</v>
      </c>
      <c r="I32" s="51">
        <v>1</v>
      </c>
      <c r="J32" s="10" t="str">
        <f>MID($A$3,SUM($G$10:G31)*2+1,4)</f>
        <v>0000</v>
      </c>
      <c r="K32" s="62">
        <f t="shared" si="1"/>
        <v>0</v>
      </c>
      <c r="L32" s="3" t="s">
        <v>184</v>
      </c>
    </row>
    <row r="33" spans="1:12">
      <c r="A33" s="9">
        <v>24</v>
      </c>
      <c r="B33" s="10" t="s">
        <v>22</v>
      </c>
      <c r="C33" s="11" t="s">
        <v>60</v>
      </c>
      <c r="D33" s="82"/>
      <c r="E33" s="10" t="s">
        <v>52</v>
      </c>
      <c r="F33" s="10" t="s">
        <v>21</v>
      </c>
      <c r="G33" s="10">
        <v>2</v>
      </c>
      <c r="H33" s="11">
        <v>10</v>
      </c>
      <c r="I33" s="51">
        <v>1</v>
      </c>
      <c r="J33" s="10" t="str">
        <f>MID($A$3,SUM($G$10:G32)*2+1,4)</f>
        <v>0211</v>
      </c>
      <c r="K33" s="62">
        <f t="shared" si="1"/>
        <v>52.9</v>
      </c>
      <c r="L33" s="3" t="s">
        <v>183</v>
      </c>
    </row>
    <row r="34" spans="1:12">
      <c r="A34" s="9">
        <v>25</v>
      </c>
      <c r="B34" s="10" t="s">
        <v>22</v>
      </c>
      <c r="C34" s="10" t="s">
        <v>61</v>
      </c>
      <c r="D34" s="82"/>
      <c r="E34" s="10" t="s">
        <v>52</v>
      </c>
      <c r="F34" s="10" t="s">
        <v>21</v>
      </c>
      <c r="G34" s="10">
        <v>2</v>
      </c>
      <c r="H34" s="11">
        <v>10</v>
      </c>
      <c r="I34" s="51">
        <v>1</v>
      </c>
      <c r="J34" s="10" t="str">
        <f>MID($A$3,SUM($G$10:G33)*2+1,4)</f>
        <v>0600</v>
      </c>
      <c r="K34" s="62">
        <f t="shared" si="1"/>
        <v>153.6</v>
      </c>
      <c r="L34" s="3" t="s">
        <v>182</v>
      </c>
    </row>
    <row r="35" spans="1:12">
      <c r="A35" s="9">
        <v>26</v>
      </c>
      <c r="B35" s="10" t="s">
        <v>22</v>
      </c>
      <c r="C35" s="11" t="s">
        <v>62</v>
      </c>
      <c r="D35" s="82"/>
      <c r="E35" s="10" t="s">
        <v>52</v>
      </c>
      <c r="F35" s="10" t="s">
        <v>21</v>
      </c>
      <c r="G35" s="10">
        <v>2</v>
      </c>
      <c r="H35" s="11">
        <v>10</v>
      </c>
      <c r="I35" s="51">
        <v>1</v>
      </c>
      <c r="J35" s="10" t="str">
        <f>MID($A$3,SUM($G$10:G34)*2+1,4)</f>
        <v>0000</v>
      </c>
      <c r="K35" s="62">
        <f t="shared" si="1"/>
        <v>0</v>
      </c>
      <c r="L35" s="3" t="s">
        <v>181</v>
      </c>
    </row>
    <row r="36" spans="1:12">
      <c r="A36" s="9">
        <v>27</v>
      </c>
      <c r="B36" s="10" t="s">
        <v>22</v>
      </c>
      <c r="C36" s="11" t="s">
        <v>63</v>
      </c>
      <c r="D36" s="82"/>
      <c r="E36" s="10" t="s">
        <v>52</v>
      </c>
      <c r="F36" s="10" t="s">
        <v>21</v>
      </c>
      <c r="G36" s="10">
        <v>2</v>
      </c>
      <c r="H36" s="11">
        <v>10</v>
      </c>
      <c r="I36" s="51">
        <v>1</v>
      </c>
      <c r="J36" s="10" t="str">
        <f>MID($A$3,SUM($G$10:G35)*2+1,4)</f>
        <v>0222</v>
      </c>
      <c r="K36" s="62">
        <f t="shared" si="1"/>
        <v>54.6</v>
      </c>
      <c r="L36" s="3" t="s">
        <v>180</v>
      </c>
    </row>
    <row r="37" spans="1:12">
      <c r="A37" s="9">
        <v>28</v>
      </c>
      <c r="B37" s="10" t="s">
        <v>22</v>
      </c>
      <c r="C37" s="11" t="s">
        <v>64</v>
      </c>
      <c r="D37" s="82"/>
      <c r="E37" s="10" t="s">
        <v>52</v>
      </c>
      <c r="F37" s="10" t="s">
        <v>21</v>
      </c>
      <c r="G37" s="10">
        <v>2</v>
      </c>
      <c r="H37" s="11">
        <v>10</v>
      </c>
      <c r="I37" s="51">
        <v>1</v>
      </c>
      <c r="J37" s="10" t="str">
        <f>MID($A$3,SUM($G$10:G36)*2+1,4)</f>
        <v>01f9</v>
      </c>
      <c r="K37" s="62">
        <f t="shared" si="1"/>
        <v>50.5</v>
      </c>
      <c r="L37" s="3" t="s">
        <v>179</v>
      </c>
    </row>
    <row r="38" spans="1:12">
      <c r="A38" s="9">
        <v>29</v>
      </c>
      <c r="B38" s="10" t="s">
        <v>22</v>
      </c>
      <c r="C38" s="11" t="s">
        <v>65</v>
      </c>
      <c r="D38" s="82"/>
      <c r="E38" s="10" t="s">
        <v>52</v>
      </c>
      <c r="F38" s="10" t="s">
        <v>21</v>
      </c>
      <c r="G38" s="10">
        <v>2</v>
      </c>
      <c r="H38" s="11">
        <v>10</v>
      </c>
      <c r="I38" s="51">
        <v>1</v>
      </c>
      <c r="J38" s="10" t="str">
        <f>MID($A$3,SUM($G$10:G37)*2+1,4)</f>
        <v>01e5</v>
      </c>
      <c r="K38" s="62">
        <f t="shared" si="1"/>
        <v>48.5</v>
      </c>
      <c r="L38" s="3" t="s">
        <v>178</v>
      </c>
    </row>
    <row r="39" spans="1:12">
      <c r="A39" s="9">
        <v>30</v>
      </c>
      <c r="B39" s="10" t="s">
        <v>22</v>
      </c>
      <c r="C39" s="11" t="s">
        <v>66</v>
      </c>
      <c r="D39" s="82"/>
      <c r="E39" s="10" t="s">
        <v>52</v>
      </c>
      <c r="F39" s="10" t="s">
        <v>21</v>
      </c>
      <c r="G39" s="10">
        <v>2</v>
      </c>
      <c r="H39" s="11">
        <v>10</v>
      </c>
      <c r="I39" s="51">
        <v>1</v>
      </c>
      <c r="J39" s="10" t="str">
        <f>MID($A$3,SUM($G$10:G38)*2+1,4)</f>
        <v>0000</v>
      </c>
      <c r="K39" s="62">
        <f t="shared" si="1"/>
        <v>0</v>
      </c>
      <c r="L39" s="3" t="s">
        <v>177</v>
      </c>
    </row>
    <row r="40" spans="1:12">
      <c r="A40" s="9">
        <v>31</v>
      </c>
      <c r="B40" s="10" t="s">
        <v>22</v>
      </c>
      <c r="C40" s="10" t="s">
        <v>67</v>
      </c>
      <c r="D40" s="82"/>
      <c r="E40" s="10" t="s">
        <v>52</v>
      </c>
      <c r="F40" s="10" t="s">
        <v>21</v>
      </c>
      <c r="G40" s="10">
        <v>2</v>
      </c>
      <c r="H40" s="11">
        <v>10</v>
      </c>
      <c r="I40" s="51">
        <v>1</v>
      </c>
      <c r="J40" s="10" t="str">
        <f>MID($A$3,SUM($G$10:G39)*2+1,4)</f>
        <v>0000</v>
      </c>
      <c r="K40" s="62">
        <f t="shared" si="1"/>
        <v>0</v>
      </c>
      <c r="L40" s="3" t="s">
        <v>176</v>
      </c>
    </row>
    <row r="41" spans="1:12">
      <c r="A41" s="9">
        <v>32</v>
      </c>
      <c r="B41" s="10" t="s">
        <v>22</v>
      </c>
      <c r="C41" s="37" t="s">
        <v>68</v>
      </c>
      <c r="D41" s="82"/>
      <c r="E41" s="10" t="s">
        <v>52</v>
      </c>
      <c r="F41" s="10" t="s">
        <v>21</v>
      </c>
      <c r="G41" s="10">
        <v>2</v>
      </c>
      <c r="H41" s="11">
        <v>10</v>
      </c>
      <c r="I41" s="51">
        <v>1</v>
      </c>
      <c r="J41" s="10" t="str">
        <f>MID($A$3,SUM($G$10:G40)*2+1,4)</f>
        <v>09e8</v>
      </c>
      <c r="K41" s="62">
        <f t="shared" si="1"/>
        <v>253.6</v>
      </c>
      <c r="L41" s="3" t="s">
        <v>175</v>
      </c>
    </row>
    <row r="42" spans="1:12">
      <c r="A42" s="9">
        <v>33</v>
      </c>
      <c r="B42" s="10" t="s">
        <v>22</v>
      </c>
      <c r="C42" s="37" t="s">
        <v>69</v>
      </c>
      <c r="D42" s="82"/>
      <c r="E42" s="10" t="s">
        <v>52</v>
      </c>
      <c r="F42" s="10" t="s">
        <v>21</v>
      </c>
      <c r="G42" s="10">
        <v>2</v>
      </c>
      <c r="H42" s="11">
        <v>10</v>
      </c>
      <c r="I42" s="51">
        <v>1</v>
      </c>
      <c r="J42" s="10" t="str">
        <f>MID($A$3,SUM($G$10:G41)*2+1,4)</f>
        <v>0888</v>
      </c>
      <c r="K42" s="62">
        <f t="shared" si="1"/>
        <v>218.4</v>
      </c>
      <c r="L42" s="3" t="s">
        <v>174</v>
      </c>
    </row>
    <row r="43" spans="1:12">
      <c r="A43" s="9">
        <v>34</v>
      </c>
      <c r="B43" s="10" t="s">
        <v>22</v>
      </c>
      <c r="C43" s="10" t="s">
        <v>70</v>
      </c>
      <c r="D43" s="82"/>
      <c r="E43" s="10" t="s">
        <v>52</v>
      </c>
      <c r="F43" s="10" t="s">
        <v>21</v>
      </c>
      <c r="G43" s="10">
        <v>2</v>
      </c>
      <c r="H43" s="11">
        <v>10</v>
      </c>
      <c r="I43" s="51">
        <v>1</v>
      </c>
      <c r="J43" s="10" t="str">
        <f>MID($A$3,SUM($G$10:G42)*2+1,4)</f>
        <v>0937</v>
      </c>
      <c r="K43" s="62">
        <f t="shared" si="1"/>
        <v>235.9</v>
      </c>
      <c r="L43" s="3" t="s">
        <v>173</v>
      </c>
    </row>
    <row r="44" spans="1:12">
      <c r="A44" s="9">
        <v>35</v>
      </c>
      <c r="B44" s="10" t="s">
        <v>22</v>
      </c>
      <c r="C44" s="10" t="s">
        <v>71</v>
      </c>
      <c r="D44" s="82"/>
      <c r="E44" s="10" t="s">
        <v>52</v>
      </c>
      <c r="F44" s="10" t="s">
        <v>21</v>
      </c>
      <c r="G44" s="10">
        <v>2</v>
      </c>
      <c r="H44" s="11">
        <v>10</v>
      </c>
      <c r="I44" s="51">
        <v>1</v>
      </c>
      <c r="J44" s="10" t="str">
        <f>MID($A$3,SUM($G$10:G43)*2+1,4)</f>
        <v>0000</v>
      </c>
      <c r="K44" s="62">
        <f t="shared" si="1"/>
        <v>0</v>
      </c>
      <c r="L44" s="3" t="s">
        <v>172</v>
      </c>
    </row>
    <row r="45" spans="1:12">
      <c r="A45" s="9">
        <v>36</v>
      </c>
      <c r="B45" s="10" t="s">
        <v>22</v>
      </c>
      <c r="C45" s="10" t="s">
        <v>72</v>
      </c>
      <c r="D45" s="82"/>
      <c r="E45" s="10" t="s">
        <v>52</v>
      </c>
      <c r="F45" s="10" t="s">
        <v>21</v>
      </c>
      <c r="G45" s="10">
        <v>2</v>
      </c>
      <c r="H45" s="11">
        <v>10</v>
      </c>
      <c r="I45" s="51">
        <v>1</v>
      </c>
      <c r="J45" s="10" t="str">
        <f>MID($A$3,SUM($G$10:G44)*2+1,4)</f>
        <v>010d</v>
      </c>
      <c r="K45" s="62">
        <f t="shared" si="1"/>
        <v>26.9</v>
      </c>
      <c r="L45" s="3" t="s">
        <v>171</v>
      </c>
    </row>
    <row r="46" spans="1:12">
      <c r="A46" s="9">
        <v>37</v>
      </c>
      <c r="B46" s="10" t="s">
        <v>22</v>
      </c>
      <c r="C46" s="10" t="s">
        <v>73</v>
      </c>
      <c r="D46" s="82"/>
      <c r="E46" s="10" t="s">
        <v>52</v>
      </c>
      <c r="F46" s="10" t="s">
        <v>21</v>
      </c>
      <c r="G46" s="10">
        <v>2</v>
      </c>
      <c r="H46" s="11">
        <v>10</v>
      </c>
      <c r="I46" s="51">
        <v>1</v>
      </c>
      <c r="J46" s="10" t="str">
        <f>MID($A$3,SUM($G$10:G45)*2+1,4)</f>
        <v>007a</v>
      </c>
      <c r="K46" s="62">
        <f t="shared" si="1"/>
        <v>12.2</v>
      </c>
      <c r="L46" s="3" t="s">
        <v>170</v>
      </c>
    </row>
    <row r="47" spans="1:12">
      <c r="A47" s="9">
        <v>38</v>
      </c>
      <c r="B47" s="10" t="s">
        <v>22</v>
      </c>
      <c r="C47" s="10" t="s">
        <v>74</v>
      </c>
      <c r="D47" s="82"/>
      <c r="E47" s="10" t="s">
        <v>75</v>
      </c>
      <c r="F47" s="10" t="s">
        <v>21</v>
      </c>
      <c r="G47" s="10">
        <v>2</v>
      </c>
      <c r="H47" s="11">
        <v>10</v>
      </c>
      <c r="I47" s="51">
        <v>1</v>
      </c>
      <c r="J47" s="10" t="str">
        <f>MID($A$3,SUM($G$10:G46)*2+1,4)</f>
        <v>01f4</v>
      </c>
      <c r="K47" s="62">
        <f t="shared" si="1"/>
        <v>50</v>
      </c>
      <c r="L47" s="3" t="s">
        <v>169</v>
      </c>
    </row>
    <row r="48" spans="1:12">
      <c r="A48" s="9">
        <v>39</v>
      </c>
      <c r="B48" s="10" t="s">
        <v>22</v>
      </c>
      <c r="C48" s="11" t="s">
        <v>76</v>
      </c>
      <c r="D48" s="82"/>
      <c r="E48" s="10" t="s">
        <v>52</v>
      </c>
      <c r="F48" s="10" t="s">
        <v>21</v>
      </c>
      <c r="G48" s="10">
        <v>2</v>
      </c>
      <c r="H48" s="11">
        <v>10</v>
      </c>
      <c r="I48" s="51">
        <v>1</v>
      </c>
      <c r="J48" s="10" t="str">
        <f>MID($A$3,SUM($G$10:G47)*2+1,4)</f>
        <v>0008</v>
      </c>
      <c r="K48" s="62">
        <f t="shared" si="1"/>
        <v>0.8</v>
      </c>
      <c r="L48" s="3" t="s">
        <v>151</v>
      </c>
    </row>
    <row r="49" spans="1:12">
      <c r="A49" s="9">
        <v>40</v>
      </c>
      <c r="B49" s="10" t="s">
        <v>22</v>
      </c>
      <c r="C49" s="11" t="s">
        <v>77</v>
      </c>
      <c r="D49" s="82"/>
      <c r="E49" s="10" t="s">
        <v>52</v>
      </c>
      <c r="F49" s="10" t="s">
        <v>21</v>
      </c>
      <c r="G49" s="10">
        <v>2</v>
      </c>
      <c r="H49" s="11">
        <v>10</v>
      </c>
      <c r="I49" s="51">
        <v>1</v>
      </c>
      <c r="J49" s="10" t="str">
        <f>MID($A$3,SUM($G$10:G48)*2+1,4)</f>
        <v>0000</v>
      </c>
      <c r="K49" s="62">
        <f t="shared" si="1"/>
        <v>0</v>
      </c>
      <c r="L49" s="3" t="s">
        <v>150</v>
      </c>
    </row>
    <row r="50" spans="1:12">
      <c r="A50" s="9">
        <v>41</v>
      </c>
      <c r="B50" s="10" t="s">
        <v>22</v>
      </c>
      <c r="C50" s="11" t="s">
        <v>78</v>
      </c>
      <c r="D50" s="82"/>
      <c r="E50" s="10" t="s">
        <v>52</v>
      </c>
      <c r="F50" s="10" t="s">
        <v>21</v>
      </c>
      <c r="G50" s="10">
        <v>2</v>
      </c>
      <c r="H50" s="11">
        <v>10</v>
      </c>
      <c r="I50" s="51">
        <v>1</v>
      </c>
      <c r="J50" s="10" t="str">
        <f>MID($A$3,SUM($G$10:G49)*2+1,4)</f>
        <v>0000</v>
      </c>
      <c r="K50" s="62">
        <f t="shared" si="1"/>
        <v>0</v>
      </c>
      <c r="L50" s="3" t="s">
        <v>149</v>
      </c>
    </row>
    <row r="51" spans="1:12">
      <c r="A51" s="9">
        <v>42</v>
      </c>
      <c r="B51" s="10" t="s">
        <v>22</v>
      </c>
      <c r="C51" s="11" t="s">
        <v>79</v>
      </c>
      <c r="D51" s="82"/>
      <c r="E51" s="10" t="s">
        <v>52</v>
      </c>
      <c r="F51" s="10" t="s">
        <v>21</v>
      </c>
      <c r="G51" s="10">
        <v>2</v>
      </c>
      <c r="H51" s="11">
        <v>10</v>
      </c>
      <c r="I51" s="51">
        <v>1</v>
      </c>
      <c r="J51" s="10" t="str">
        <f>MID($A$3,SUM($G$10:G50)*2+1,4)</f>
        <v>0000</v>
      </c>
      <c r="K51" s="62">
        <f t="shared" si="1"/>
        <v>0</v>
      </c>
      <c r="L51" s="3" t="s">
        <v>191</v>
      </c>
    </row>
    <row r="52" spans="1:12">
      <c r="A52" s="9">
        <v>43</v>
      </c>
      <c r="B52" s="10" t="s">
        <v>22</v>
      </c>
      <c r="C52" s="11" t="s">
        <v>80</v>
      </c>
      <c r="D52" s="82"/>
      <c r="E52" s="10" t="s">
        <v>52</v>
      </c>
      <c r="F52" s="10" t="s">
        <v>21</v>
      </c>
      <c r="G52" s="10">
        <v>2</v>
      </c>
      <c r="H52" s="11">
        <v>10</v>
      </c>
      <c r="I52" s="51">
        <v>1</v>
      </c>
      <c r="J52" s="10" t="str">
        <f>MID($A$3,SUM($G$10:G51)*2+1,4)</f>
        <v>0000</v>
      </c>
      <c r="K52" s="62">
        <f t="shared" si="1"/>
        <v>0</v>
      </c>
      <c r="L52" s="3" t="s">
        <v>152</v>
      </c>
    </row>
    <row r="53" spans="1:12">
      <c r="A53" s="9">
        <v>44</v>
      </c>
      <c r="B53" s="10" t="s">
        <v>22</v>
      </c>
      <c r="C53" s="11" t="s">
        <v>81</v>
      </c>
      <c r="D53" s="82"/>
      <c r="E53" s="10" t="s">
        <v>52</v>
      </c>
      <c r="F53" s="10" t="s">
        <v>21</v>
      </c>
      <c r="G53" s="10">
        <v>2</v>
      </c>
      <c r="H53" s="11">
        <v>10</v>
      </c>
      <c r="I53" s="51">
        <v>1</v>
      </c>
      <c r="J53" s="10" t="str">
        <f>MID($A$3,SUM($G$10:G52)*2+1,4)</f>
        <v>0000</v>
      </c>
      <c r="K53" s="62">
        <f t="shared" si="1"/>
        <v>0</v>
      </c>
      <c r="L53" s="3" t="s">
        <v>153</v>
      </c>
    </row>
    <row r="54" spans="1:12">
      <c r="A54" s="9">
        <v>45</v>
      </c>
      <c r="B54" s="10" t="s">
        <v>22</v>
      </c>
      <c r="C54" s="10" t="s">
        <v>82</v>
      </c>
      <c r="D54" s="82"/>
      <c r="E54" s="10" t="s">
        <v>75</v>
      </c>
      <c r="F54" s="10" t="s">
        <v>21</v>
      </c>
      <c r="G54" s="10">
        <v>2</v>
      </c>
      <c r="H54" s="11">
        <v>10</v>
      </c>
      <c r="I54" s="51">
        <v>1</v>
      </c>
      <c r="J54" s="10" t="str">
        <f>MID($A$3,SUM($G$10:G53)*2+1,4)</f>
        <v>0000</v>
      </c>
      <c r="K54" s="62">
        <f t="shared" si="1"/>
        <v>0</v>
      </c>
      <c r="L54" s="3" t="s">
        <v>154</v>
      </c>
    </row>
    <row r="55" spans="1:12">
      <c r="A55" s="9">
        <v>46</v>
      </c>
      <c r="B55" s="10" t="s">
        <v>22</v>
      </c>
      <c r="C55" s="10" t="s">
        <v>83</v>
      </c>
      <c r="D55" s="82"/>
      <c r="E55" s="10" t="s">
        <v>75</v>
      </c>
      <c r="F55" s="10" t="s">
        <v>21</v>
      </c>
      <c r="G55" s="10">
        <v>2</v>
      </c>
      <c r="H55" s="11">
        <v>10</v>
      </c>
      <c r="I55" s="51">
        <v>1</v>
      </c>
      <c r="J55" s="10" t="str">
        <f>MID($A$3,SUM($G$10:G54)*2+1,4)</f>
        <v>0000</v>
      </c>
      <c r="K55" s="62">
        <f t="shared" si="1"/>
        <v>0</v>
      </c>
      <c r="L55" s="3" t="s">
        <v>155</v>
      </c>
    </row>
    <row r="56" spans="1:12">
      <c r="A56" s="9">
        <v>47</v>
      </c>
      <c r="B56" s="10" t="s">
        <v>22</v>
      </c>
      <c r="C56" s="10" t="s">
        <v>84</v>
      </c>
      <c r="D56" s="82"/>
      <c r="E56" s="10" t="s">
        <v>52</v>
      </c>
      <c r="F56" s="10" t="s">
        <v>21</v>
      </c>
      <c r="G56" s="10">
        <v>2</v>
      </c>
      <c r="H56" s="11">
        <v>10</v>
      </c>
      <c r="I56" s="51">
        <v>1</v>
      </c>
      <c r="J56" s="10" t="str">
        <f>MID($A$3,SUM($G$10:G55)*2+1,4)</f>
        <v>0000</v>
      </c>
      <c r="K56" s="62">
        <f t="shared" si="1"/>
        <v>0</v>
      </c>
      <c r="L56" s="3" t="s">
        <v>156</v>
      </c>
    </row>
    <row r="57" spans="1:12" ht="15.75" thickBot="1">
      <c r="A57" s="18">
        <v>48</v>
      </c>
      <c r="B57" s="19" t="s">
        <v>22</v>
      </c>
      <c r="C57" s="19" t="s">
        <v>85</v>
      </c>
      <c r="D57" s="92"/>
      <c r="E57" s="19" t="s">
        <v>52</v>
      </c>
      <c r="F57" s="19" t="s">
        <v>21</v>
      </c>
      <c r="G57" s="19">
        <v>2</v>
      </c>
      <c r="H57" s="20">
        <v>10</v>
      </c>
      <c r="I57" s="54">
        <v>1</v>
      </c>
      <c r="J57" s="10" t="str">
        <f>MID($A$3,SUM($G$10:G56)*2+1,4)</f>
        <v>0000</v>
      </c>
      <c r="K57" s="62">
        <f t="shared" si="1"/>
        <v>0</v>
      </c>
      <c r="L57" s="3" t="s">
        <v>157</v>
      </c>
    </row>
    <row r="58" spans="1:12">
      <c r="A58" s="21">
        <v>49</v>
      </c>
      <c r="B58" s="22" t="s">
        <v>22</v>
      </c>
      <c r="C58" s="22" t="s">
        <v>86</v>
      </c>
      <c r="D58" s="93" t="s">
        <v>87</v>
      </c>
      <c r="E58" s="22" t="s">
        <v>52</v>
      </c>
      <c r="F58" s="22" t="s">
        <v>21</v>
      </c>
      <c r="G58" s="22">
        <v>2</v>
      </c>
      <c r="H58" s="23">
        <v>10</v>
      </c>
      <c r="I58" s="55">
        <v>1</v>
      </c>
      <c r="J58" s="10" t="str">
        <f>MID($A$3,SUM($G$10:G57)*2+1,4)</f>
        <v>0000</v>
      </c>
      <c r="K58" s="62">
        <f t="shared" si="1"/>
        <v>0</v>
      </c>
      <c r="L58" s="3" t="s">
        <v>158</v>
      </c>
    </row>
    <row r="59" spans="1:12" ht="15.75" thickBot="1">
      <c r="A59" s="24">
        <v>50</v>
      </c>
      <c r="B59" s="25" t="s">
        <v>22</v>
      </c>
      <c r="C59" s="25" t="s">
        <v>88</v>
      </c>
      <c r="D59" s="94"/>
      <c r="E59" s="25" t="s">
        <v>52</v>
      </c>
      <c r="F59" s="25" t="s">
        <v>21</v>
      </c>
      <c r="G59" s="25">
        <v>2</v>
      </c>
      <c r="H59" s="26">
        <v>10</v>
      </c>
      <c r="I59" s="56">
        <v>1</v>
      </c>
      <c r="J59" s="10" t="str">
        <f>MID($A$3,SUM($G$10:G58)*2+1,4)</f>
        <v>03e8</v>
      </c>
      <c r="K59" s="62">
        <f t="shared" si="1"/>
        <v>100</v>
      </c>
      <c r="L59" s="3" t="s">
        <v>159</v>
      </c>
    </row>
    <row r="60" spans="1:12" s="68" customFormat="1">
      <c r="A60" s="64">
        <v>51</v>
      </c>
      <c r="B60" s="65" t="s">
        <v>22</v>
      </c>
      <c r="C60" s="66" t="s">
        <v>89</v>
      </c>
      <c r="D60" s="95" t="s">
        <v>90</v>
      </c>
      <c r="E60" s="65" t="s">
        <v>75</v>
      </c>
      <c r="F60" s="65" t="s">
        <v>21</v>
      </c>
      <c r="G60" s="65">
        <v>2</v>
      </c>
      <c r="H60" s="66">
        <v>10</v>
      </c>
      <c r="I60" s="67">
        <v>1</v>
      </c>
      <c r="J60" s="59" t="str">
        <f>MID($A$3,SUM($G$10:G59)*2+1,4)</f>
        <v>01dd</v>
      </c>
      <c r="K60" s="62">
        <f t="shared" si="1"/>
        <v>47.7</v>
      </c>
      <c r="L60" s="68" t="s">
        <v>161</v>
      </c>
    </row>
    <row r="61" spans="1:12" ht="15.75" thickBot="1">
      <c r="A61" s="12">
        <v>52</v>
      </c>
      <c r="B61" s="13" t="s">
        <v>22</v>
      </c>
      <c r="C61" s="14" t="s">
        <v>91</v>
      </c>
      <c r="D61" s="83"/>
      <c r="E61" s="10" t="s">
        <v>52</v>
      </c>
      <c r="F61" s="13" t="s">
        <v>21</v>
      </c>
      <c r="G61" s="13">
        <v>2</v>
      </c>
      <c r="H61" s="14">
        <v>10</v>
      </c>
      <c r="I61" s="52">
        <v>1</v>
      </c>
      <c r="J61" s="10" t="str">
        <f>MID($A$3,SUM($G$10:G60)*2+1,4)</f>
        <v>01a0</v>
      </c>
      <c r="K61" s="62">
        <f t="shared" si="1"/>
        <v>41.6</v>
      </c>
      <c r="L61" s="3" t="s">
        <v>162</v>
      </c>
    </row>
    <row r="62" spans="1:12" ht="15.75" thickBot="1">
      <c r="A62" s="29">
        <v>53</v>
      </c>
      <c r="B62" s="30" t="s">
        <v>22</v>
      </c>
      <c r="C62" s="31" t="s">
        <v>92</v>
      </c>
      <c r="D62" s="30" t="s">
        <v>93</v>
      </c>
      <c r="E62" s="30" t="s">
        <v>55</v>
      </c>
      <c r="F62" s="30" t="s">
        <v>21</v>
      </c>
      <c r="G62" s="30">
        <v>2</v>
      </c>
      <c r="H62" s="31">
        <v>10</v>
      </c>
      <c r="I62" s="57">
        <v>1</v>
      </c>
      <c r="J62" s="10" t="str">
        <f>MID($A$3,SUM($G$10:G61)*2+1,4)</f>
        <v>0000</v>
      </c>
      <c r="K62" s="62">
        <f t="shared" si="1"/>
        <v>0</v>
      </c>
      <c r="L62" s="3" t="s">
        <v>163</v>
      </c>
    </row>
    <row r="63" spans="1:12" ht="15.75" thickBot="1">
      <c r="A63" s="29">
        <v>54</v>
      </c>
      <c r="B63" s="30" t="s">
        <v>22</v>
      </c>
      <c r="C63" s="31" t="s">
        <v>94</v>
      </c>
      <c r="D63" s="30" t="s">
        <v>87</v>
      </c>
      <c r="E63" s="30" t="s">
        <v>75</v>
      </c>
      <c r="F63" s="30" t="s">
        <v>21</v>
      </c>
      <c r="G63" s="30">
        <v>2</v>
      </c>
      <c r="H63" s="31">
        <v>10</v>
      </c>
      <c r="I63" s="57">
        <v>1</v>
      </c>
      <c r="J63" s="10" t="str">
        <f>MID($A$3,SUM($G$10:G62)*2+1,4)</f>
        <v>0083</v>
      </c>
      <c r="K63" s="62">
        <f t="shared" si="1"/>
        <v>13.1</v>
      </c>
      <c r="L63" s="3" t="s">
        <v>160</v>
      </c>
    </row>
    <row r="64" spans="1:12">
      <c r="A64" s="32">
        <v>55</v>
      </c>
      <c r="B64" s="33" t="s">
        <v>95</v>
      </c>
      <c r="C64" s="8" t="s">
        <v>96</v>
      </c>
      <c r="D64" s="76" t="s">
        <v>97</v>
      </c>
      <c r="E64" s="34" t="s">
        <v>98</v>
      </c>
      <c r="F64" s="34" t="s">
        <v>99</v>
      </c>
      <c r="G64" s="34">
        <v>4</v>
      </c>
      <c r="H64" s="8">
        <v>1</v>
      </c>
      <c r="I64" s="50">
        <v>3600</v>
      </c>
      <c r="J64" s="10" t="str">
        <f>MID($A$3,SUM($G$10:G63)*2+1,8)</f>
        <v>468a1f9a</v>
      </c>
      <c r="K64" s="63">
        <f t="shared" ref="K64:K85" si="2">Hex2Sng(J64)</f>
        <v>17679.80078125</v>
      </c>
      <c r="L64" s="3" t="s">
        <v>164</v>
      </c>
    </row>
    <row r="65" spans="1:12">
      <c r="A65" s="35">
        <v>56</v>
      </c>
      <c r="B65" s="36" t="s">
        <v>95</v>
      </c>
      <c r="C65" s="36" t="s">
        <v>100</v>
      </c>
      <c r="D65" s="77"/>
      <c r="E65" s="37" t="s">
        <v>98</v>
      </c>
      <c r="F65" s="37" t="s">
        <v>99</v>
      </c>
      <c r="G65" s="37">
        <v>4</v>
      </c>
      <c r="H65" s="11">
        <v>1</v>
      </c>
      <c r="I65" s="51">
        <v>3600</v>
      </c>
      <c r="J65" s="10" t="str">
        <f>MID($A$3,SUM($G$10:G64)*2+1,8)</f>
        <v>40200000</v>
      </c>
      <c r="K65" s="63">
        <f t="shared" si="2"/>
        <v>2.5</v>
      </c>
      <c r="L65" s="3" t="s">
        <v>165</v>
      </c>
    </row>
    <row r="66" spans="1:12">
      <c r="A66" s="35">
        <v>57</v>
      </c>
      <c r="B66" s="36" t="s">
        <v>95</v>
      </c>
      <c r="C66" s="36" t="s">
        <v>101</v>
      </c>
      <c r="D66" s="77"/>
      <c r="E66" s="37" t="s">
        <v>98</v>
      </c>
      <c r="F66" s="37" t="s">
        <v>99</v>
      </c>
      <c r="G66" s="37">
        <v>4</v>
      </c>
      <c r="H66" s="11">
        <v>1</v>
      </c>
      <c r="I66" s="51">
        <v>3600</v>
      </c>
      <c r="J66" s="10" t="str">
        <f>MID($A$3,SUM($G$10:G65)*2+1,8)</f>
        <v>3f333333</v>
      </c>
      <c r="K66" s="63">
        <f t="shared" si="2"/>
        <v>0.69999998807907104</v>
      </c>
      <c r="L66" s="3" t="s">
        <v>166</v>
      </c>
    </row>
    <row r="67" spans="1:12">
      <c r="A67" s="35">
        <v>58</v>
      </c>
      <c r="B67" s="36" t="s">
        <v>95</v>
      </c>
      <c r="C67" s="36" t="s">
        <v>102</v>
      </c>
      <c r="D67" s="77"/>
      <c r="E67" s="37" t="s">
        <v>98</v>
      </c>
      <c r="F67" s="37" t="s">
        <v>99</v>
      </c>
      <c r="G67" s="37">
        <v>4</v>
      </c>
      <c r="H67" s="11">
        <v>1</v>
      </c>
      <c r="I67" s="51">
        <v>3600</v>
      </c>
      <c r="J67" s="10" t="str">
        <f>MID($A$3,SUM($G$10:G66)*2+1,8)</f>
        <v>00000000</v>
      </c>
      <c r="K67" s="63">
        <f t="shared" si="2"/>
        <v>0</v>
      </c>
      <c r="L67" s="3" t="s">
        <v>167</v>
      </c>
    </row>
    <row r="68" spans="1:12">
      <c r="A68" s="35">
        <v>59</v>
      </c>
      <c r="B68" s="36" t="s">
        <v>95</v>
      </c>
      <c r="C68" s="11" t="s">
        <v>103</v>
      </c>
      <c r="D68" s="77"/>
      <c r="E68" s="37" t="s">
        <v>98</v>
      </c>
      <c r="F68" s="37" t="s">
        <v>99</v>
      </c>
      <c r="G68" s="37">
        <v>4</v>
      </c>
      <c r="H68" s="11">
        <v>1</v>
      </c>
      <c r="I68" s="51">
        <v>3600</v>
      </c>
      <c r="J68" s="10" t="str">
        <f>MID($A$3,SUM($G$10:G67)*2+1,8)</f>
        <v>4387199a</v>
      </c>
      <c r="K68" s="63">
        <f t="shared" si="2"/>
        <v>270.20001220703125</v>
      </c>
      <c r="L68" s="3" t="s">
        <v>168</v>
      </c>
    </row>
    <row r="69" spans="1:12">
      <c r="A69" s="35">
        <v>60</v>
      </c>
      <c r="B69" s="36" t="s">
        <v>95</v>
      </c>
      <c r="C69" s="36" t="s">
        <v>104</v>
      </c>
      <c r="D69" s="77"/>
      <c r="E69" s="37" t="s">
        <v>98</v>
      </c>
      <c r="F69" s="37" t="s">
        <v>99</v>
      </c>
      <c r="G69" s="37">
        <v>4</v>
      </c>
      <c r="H69" s="11">
        <v>1</v>
      </c>
      <c r="I69" s="51">
        <v>3600</v>
      </c>
      <c r="J69" s="10" t="str">
        <f>MID($A$3,SUM($G$10:G68)*2+1,8)</f>
        <v>00000000</v>
      </c>
      <c r="K69" s="63">
        <f t="shared" si="2"/>
        <v>0</v>
      </c>
      <c r="L69" s="3" t="s">
        <v>192</v>
      </c>
    </row>
    <row r="70" spans="1:12" ht="15.75" thickBot="1">
      <c r="A70" s="38">
        <v>61</v>
      </c>
      <c r="B70" s="39" t="s">
        <v>95</v>
      </c>
      <c r="C70" s="39" t="s">
        <v>105</v>
      </c>
      <c r="D70" s="78"/>
      <c r="E70" s="40" t="s">
        <v>98</v>
      </c>
      <c r="F70" s="40" t="s">
        <v>99</v>
      </c>
      <c r="G70" s="40">
        <v>4</v>
      </c>
      <c r="H70" s="14">
        <v>1</v>
      </c>
      <c r="I70" s="52">
        <v>3600</v>
      </c>
      <c r="J70" s="10" t="str">
        <f>MID($A$3,SUM($G$10:G69)*2+1,8)</f>
        <v>00000000</v>
      </c>
      <c r="K70" s="63">
        <f t="shared" si="2"/>
        <v>0</v>
      </c>
      <c r="L70" s="3" t="s">
        <v>193</v>
      </c>
    </row>
    <row r="71" spans="1:12">
      <c r="A71" s="6">
        <v>62</v>
      </c>
      <c r="B71" s="7" t="s">
        <v>95</v>
      </c>
      <c r="C71" s="7" t="s">
        <v>106</v>
      </c>
      <c r="D71" s="79" t="s">
        <v>87</v>
      </c>
      <c r="E71" s="34" t="s">
        <v>98</v>
      </c>
      <c r="F71" s="34" t="s">
        <v>99</v>
      </c>
      <c r="G71" s="34">
        <v>4</v>
      </c>
      <c r="H71" s="8">
        <v>1</v>
      </c>
      <c r="I71" s="50"/>
      <c r="J71" s="10" t="str">
        <f>MID($A$3,SUM($G$10:G70)*2+1,8)</f>
        <v>00000000</v>
      </c>
      <c r="K71" s="63">
        <f t="shared" si="2"/>
        <v>0</v>
      </c>
      <c r="L71" s="3" t="s">
        <v>194</v>
      </c>
    </row>
    <row r="72" spans="1:12" ht="15.75" thickBot="1">
      <c r="A72" s="12">
        <v>63</v>
      </c>
      <c r="B72" s="13" t="s">
        <v>95</v>
      </c>
      <c r="C72" s="14" t="s">
        <v>107</v>
      </c>
      <c r="D72" s="80"/>
      <c r="E72" s="40" t="s">
        <v>98</v>
      </c>
      <c r="F72" s="40" t="s">
        <v>99</v>
      </c>
      <c r="G72" s="40">
        <v>4</v>
      </c>
      <c r="H72" s="14">
        <v>1</v>
      </c>
      <c r="I72" s="52"/>
      <c r="J72" s="10" t="str">
        <f>MID($A$3,SUM($G$10:G71)*2+1,8)</f>
        <v>00000000</v>
      </c>
      <c r="K72" s="63">
        <f t="shared" si="2"/>
        <v>0</v>
      </c>
      <c r="L72" s="3" t="s">
        <v>195</v>
      </c>
    </row>
    <row r="73" spans="1:12">
      <c r="A73" s="6">
        <v>64</v>
      </c>
      <c r="B73" s="7" t="s">
        <v>95</v>
      </c>
      <c r="C73" s="8" t="s">
        <v>108</v>
      </c>
      <c r="D73" s="81" t="s">
        <v>109</v>
      </c>
      <c r="E73" s="34" t="s">
        <v>98</v>
      </c>
      <c r="F73" s="34" t="s">
        <v>99</v>
      </c>
      <c r="G73" s="34">
        <v>4</v>
      </c>
      <c r="H73" s="8">
        <v>1</v>
      </c>
      <c r="I73" s="50">
        <v>1000</v>
      </c>
      <c r="J73" s="10" t="str">
        <f>MID($A$3,SUM($G$10:G72)*2+1,8)</f>
        <v>47e61800</v>
      </c>
      <c r="K73" s="63">
        <f t="shared" si="2"/>
        <v>117808</v>
      </c>
      <c r="L73" s="3" t="s">
        <v>196</v>
      </c>
    </row>
    <row r="74" spans="1:12">
      <c r="A74" s="9">
        <v>65</v>
      </c>
      <c r="B74" s="10" t="s">
        <v>95</v>
      </c>
      <c r="C74" s="10" t="s">
        <v>110</v>
      </c>
      <c r="D74" s="82"/>
      <c r="E74" s="37" t="s">
        <v>98</v>
      </c>
      <c r="F74" s="37" t="s">
        <v>99</v>
      </c>
      <c r="G74" s="37">
        <v>4</v>
      </c>
      <c r="H74" s="11">
        <v>1</v>
      </c>
      <c r="I74" s="51">
        <v>1000</v>
      </c>
      <c r="J74" s="10" t="str">
        <f>MID($A$3,SUM($G$10:G73)*2+1,8)</f>
        <v>47edba00</v>
      </c>
      <c r="K74" s="63">
        <f t="shared" si="2"/>
        <v>121716</v>
      </c>
      <c r="L74" s="3" t="s">
        <v>197</v>
      </c>
    </row>
    <row r="75" spans="1:12">
      <c r="A75" s="9">
        <v>66</v>
      </c>
      <c r="B75" s="10" t="s">
        <v>95</v>
      </c>
      <c r="C75" s="10" t="s">
        <v>111</v>
      </c>
      <c r="D75" s="82"/>
      <c r="E75" s="37" t="s">
        <v>98</v>
      </c>
      <c r="F75" s="37" t="s">
        <v>99</v>
      </c>
      <c r="G75" s="37">
        <v>4</v>
      </c>
      <c r="H75" s="11">
        <v>1</v>
      </c>
      <c r="I75" s="51">
        <v>1000</v>
      </c>
      <c r="J75" s="10" t="str">
        <f>MID($A$3,SUM($G$10:G74)*2+1,8)</f>
        <v>40c00000</v>
      </c>
      <c r="K75" s="63">
        <f t="shared" si="2"/>
        <v>6</v>
      </c>
      <c r="L75" s="3" t="s">
        <v>198</v>
      </c>
    </row>
    <row r="76" spans="1:12">
      <c r="A76" s="9">
        <v>67</v>
      </c>
      <c r="B76" s="10" t="s">
        <v>95</v>
      </c>
      <c r="C76" s="11" t="s">
        <v>112</v>
      </c>
      <c r="D76" s="82"/>
      <c r="E76" s="37" t="s">
        <v>98</v>
      </c>
      <c r="F76" s="37" t="s">
        <v>99</v>
      </c>
      <c r="G76" s="37">
        <v>4</v>
      </c>
      <c r="H76" s="11">
        <v>1</v>
      </c>
      <c r="I76" s="51">
        <v>1000</v>
      </c>
      <c r="J76" s="10" t="str">
        <f>MID($A$3,SUM($G$10:G75)*2+1,8)</f>
        <v>449d8000</v>
      </c>
      <c r="K76" s="63">
        <f t="shared" si="2"/>
        <v>1260</v>
      </c>
      <c r="L76" s="3" t="s">
        <v>199</v>
      </c>
    </row>
    <row r="77" spans="1:12">
      <c r="A77" s="9">
        <v>68</v>
      </c>
      <c r="B77" s="10" t="s">
        <v>95</v>
      </c>
      <c r="C77" s="10" t="s">
        <v>113</v>
      </c>
      <c r="D77" s="82"/>
      <c r="E77" s="37" t="s">
        <v>98</v>
      </c>
      <c r="F77" s="37" t="s">
        <v>99</v>
      </c>
      <c r="G77" s="37">
        <v>4</v>
      </c>
      <c r="H77" s="11">
        <v>1</v>
      </c>
      <c r="I77" s="51">
        <v>1000</v>
      </c>
      <c r="J77" s="10" t="str">
        <f>MID($A$3,SUM($G$10:G76)*2+1,8)</f>
        <v>00000000</v>
      </c>
      <c r="K77" s="63">
        <f t="shared" si="2"/>
        <v>0</v>
      </c>
      <c r="L77" s="3" t="s">
        <v>200</v>
      </c>
    </row>
    <row r="78" spans="1:12">
      <c r="A78" s="9">
        <v>69</v>
      </c>
      <c r="B78" s="10" t="s">
        <v>95</v>
      </c>
      <c r="C78" s="10" t="s">
        <v>114</v>
      </c>
      <c r="D78" s="82"/>
      <c r="E78" s="37" t="s">
        <v>98</v>
      </c>
      <c r="F78" s="37" t="s">
        <v>99</v>
      </c>
      <c r="G78" s="37">
        <v>4</v>
      </c>
      <c r="H78" s="11">
        <v>1</v>
      </c>
      <c r="I78" s="51">
        <v>1000</v>
      </c>
      <c r="J78" s="10" t="str">
        <f>MID($A$3,SUM($G$10:G77)*2+1,8)</f>
        <v>00000000</v>
      </c>
      <c r="K78" s="63">
        <f t="shared" si="2"/>
        <v>0</v>
      </c>
      <c r="L78" s="3" t="s">
        <v>201</v>
      </c>
    </row>
    <row r="79" spans="1:12">
      <c r="A79" s="9">
        <v>70</v>
      </c>
      <c r="B79" s="10" t="s">
        <v>95</v>
      </c>
      <c r="C79" s="11" t="s">
        <v>115</v>
      </c>
      <c r="D79" s="82"/>
      <c r="E79" s="37" t="s">
        <v>98</v>
      </c>
      <c r="F79" s="37" t="s">
        <v>99</v>
      </c>
      <c r="G79" s="37">
        <v>4</v>
      </c>
      <c r="H79" s="11">
        <v>1</v>
      </c>
      <c r="I79" s="51">
        <v>1000</v>
      </c>
      <c r="J79" s="10" t="str">
        <f>MID($A$3,SUM($G$10:G78)*2+1,8)</f>
        <v>4690f600</v>
      </c>
      <c r="K79" s="63">
        <f t="shared" si="2"/>
        <v>18555</v>
      </c>
      <c r="L79" s="3" t="s">
        <v>202</v>
      </c>
    </row>
    <row r="80" spans="1:12">
      <c r="A80" s="9">
        <v>71</v>
      </c>
      <c r="B80" s="10" t="s">
        <v>95</v>
      </c>
      <c r="C80" s="11" t="s">
        <v>116</v>
      </c>
      <c r="D80" s="82"/>
      <c r="E80" s="37" t="s">
        <v>98</v>
      </c>
      <c r="F80" s="37" t="s">
        <v>99</v>
      </c>
      <c r="G80" s="37">
        <v>4</v>
      </c>
      <c r="H80" s="11">
        <v>1</v>
      </c>
      <c r="I80" s="51">
        <v>1000</v>
      </c>
      <c r="J80" s="10" t="str">
        <f>MID($A$3,SUM($G$10:G79)*2+1,8)</f>
        <v>46f88e00</v>
      </c>
      <c r="K80" s="63">
        <f t="shared" si="2"/>
        <v>31815</v>
      </c>
      <c r="L80" s="3" t="s">
        <v>203</v>
      </c>
    </row>
    <row r="81" spans="1:12">
      <c r="A81" s="9">
        <v>72</v>
      </c>
      <c r="B81" s="10" t="s">
        <v>95</v>
      </c>
      <c r="C81" s="11" t="s">
        <v>117</v>
      </c>
      <c r="D81" s="82"/>
      <c r="E81" s="37" t="s">
        <v>98</v>
      </c>
      <c r="F81" s="37" t="s">
        <v>99</v>
      </c>
      <c r="G81" s="37">
        <v>4</v>
      </c>
      <c r="H81" s="11">
        <v>1</v>
      </c>
      <c r="I81" s="51">
        <v>1000</v>
      </c>
      <c r="J81" s="10" t="str">
        <f>MID($A$3,SUM($G$10:G80)*2+1,8)</f>
        <v>471a2f00</v>
      </c>
      <c r="K81" s="63">
        <f t="shared" si="2"/>
        <v>39471</v>
      </c>
      <c r="L81" s="3" t="s">
        <v>204</v>
      </c>
    </row>
    <row r="82" spans="1:12">
      <c r="A82" s="9">
        <v>73</v>
      </c>
      <c r="B82" s="10" t="s">
        <v>95</v>
      </c>
      <c r="C82" s="11" t="s">
        <v>118</v>
      </c>
      <c r="D82" s="82"/>
      <c r="E82" s="37" t="s">
        <v>98</v>
      </c>
      <c r="F82" s="37" t="s">
        <v>99</v>
      </c>
      <c r="G82" s="37">
        <v>4</v>
      </c>
      <c r="H82" s="11">
        <v>1</v>
      </c>
      <c r="I82" s="51">
        <v>1000</v>
      </c>
      <c r="J82" s="10" t="str">
        <f>MID($A$3,SUM($G$10:G81)*2+1,8)</f>
        <v>46afa000</v>
      </c>
      <c r="K82" s="63">
        <f t="shared" si="2"/>
        <v>22480</v>
      </c>
      <c r="L82" s="3" t="s">
        <v>205</v>
      </c>
    </row>
    <row r="83" spans="1:12">
      <c r="A83" s="9">
        <v>74</v>
      </c>
      <c r="B83" s="10" t="s">
        <v>95</v>
      </c>
      <c r="C83" s="10" t="s">
        <v>119</v>
      </c>
      <c r="D83" s="82"/>
      <c r="E83" s="37" t="s">
        <v>98</v>
      </c>
      <c r="F83" s="37" t="s">
        <v>99</v>
      </c>
      <c r="G83" s="37">
        <v>4</v>
      </c>
      <c r="H83" s="11">
        <v>1</v>
      </c>
      <c r="I83" s="51">
        <v>1000</v>
      </c>
      <c r="J83" s="10" t="str">
        <f>MID($A$3,SUM($G$10:G82)*2+1,8)</f>
        <v>00000000</v>
      </c>
      <c r="K83" s="63">
        <f t="shared" si="2"/>
        <v>0</v>
      </c>
      <c r="L83" s="3" t="s">
        <v>206</v>
      </c>
    </row>
    <row r="84" spans="1:12">
      <c r="A84" s="9">
        <v>75</v>
      </c>
      <c r="B84" s="10" t="s">
        <v>95</v>
      </c>
      <c r="C84" s="10" t="s">
        <v>120</v>
      </c>
      <c r="D84" s="82"/>
      <c r="E84" s="37" t="s">
        <v>98</v>
      </c>
      <c r="F84" s="37" t="s">
        <v>99</v>
      </c>
      <c r="G84" s="37">
        <v>4</v>
      </c>
      <c r="H84" s="11">
        <v>1</v>
      </c>
      <c r="I84" s="51">
        <v>1000</v>
      </c>
      <c r="J84" s="10" t="str">
        <f>MID($A$3,SUM($G$10:G83)*2+1,8)</f>
        <v>00000000</v>
      </c>
      <c r="K84" s="63">
        <f t="shared" si="2"/>
        <v>0</v>
      </c>
      <c r="L84" s="3" t="s">
        <v>207</v>
      </c>
    </row>
    <row r="85" spans="1:12" ht="15.75" thickBot="1">
      <c r="A85" s="12">
        <v>76</v>
      </c>
      <c r="B85" s="13" t="s">
        <v>95</v>
      </c>
      <c r="C85" s="13" t="s">
        <v>121</v>
      </c>
      <c r="D85" s="83"/>
      <c r="E85" s="40" t="s">
        <v>98</v>
      </c>
      <c r="F85" s="40" t="s">
        <v>99</v>
      </c>
      <c r="G85" s="40">
        <v>4</v>
      </c>
      <c r="H85" s="14">
        <v>1</v>
      </c>
      <c r="I85" s="52">
        <v>1000</v>
      </c>
      <c r="J85" s="10" t="str">
        <f>MID($A$3,SUM($G$10:G84)*2+1,8)</f>
        <v>47db6100</v>
      </c>
      <c r="K85" s="63">
        <f t="shared" si="2"/>
        <v>112322</v>
      </c>
      <c r="L85" s="3" t="s">
        <v>208</v>
      </c>
    </row>
    <row r="86" spans="1:12" ht="15.75" thickBot="1">
      <c r="A86" s="29">
        <v>77</v>
      </c>
      <c r="B86" s="30" t="s">
        <v>122</v>
      </c>
      <c r="C86" s="30" t="s">
        <v>123</v>
      </c>
      <c r="D86" s="30" t="s">
        <v>124</v>
      </c>
      <c r="E86" s="30"/>
      <c r="F86" s="30"/>
      <c r="G86" s="41" t="s">
        <v>122</v>
      </c>
      <c r="H86" s="31"/>
      <c r="I86" s="57"/>
      <c r="J86" s="10"/>
      <c r="K86" s="10"/>
    </row>
    <row r="87" spans="1:12" ht="15.75" thickBot="1">
      <c r="A87" s="29">
        <v>78</v>
      </c>
      <c r="B87" s="30" t="s">
        <v>125</v>
      </c>
      <c r="C87" s="30" t="s">
        <v>126</v>
      </c>
      <c r="D87" s="30" t="s">
        <v>127</v>
      </c>
      <c r="E87" s="30" t="s">
        <v>128</v>
      </c>
      <c r="F87" s="30" t="s">
        <v>14</v>
      </c>
      <c r="G87" s="41">
        <v>1</v>
      </c>
      <c r="H87" s="31"/>
      <c r="I87" s="57"/>
      <c r="J87" s="10"/>
      <c r="K87" s="10"/>
    </row>
    <row r="90" spans="1:12" ht="15.75" thickBot="1">
      <c r="A90" s="42"/>
      <c r="B90" s="42"/>
      <c r="C90" s="42"/>
      <c r="D90" s="42"/>
    </row>
    <row r="91" spans="1:12" ht="15.75" thickBot="1">
      <c r="A91" s="1" t="s">
        <v>0</v>
      </c>
      <c r="B91" s="2" t="s">
        <v>129</v>
      </c>
      <c r="C91" s="2" t="s">
        <v>130</v>
      </c>
      <c r="D91" s="43" t="s">
        <v>2</v>
      </c>
    </row>
    <row r="92" spans="1:12" ht="52.5" customHeight="1">
      <c r="A92" s="27">
        <v>1</v>
      </c>
      <c r="B92" s="28">
        <v>0</v>
      </c>
      <c r="C92" s="28" t="s">
        <v>131</v>
      </c>
      <c r="D92" s="44" t="s">
        <v>132</v>
      </c>
    </row>
    <row r="93" spans="1:12">
      <c r="A93" s="9">
        <v>2</v>
      </c>
      <c r="B93" s="10">
        <v>1</v>
      </c>
      <c r="C93" s="10" t="s">
        <v>133</v>
      </c>
      <c r="D93" s="45" t="s">
        <v>134</v>
      </c>
    </row>
    <row r="94" spans="1:12">
      <c r="A94" s="9">
        <v>3</v>
      </c>
      <c r="B94" s="10">
        <v>2</v>
      </c>
      <c r="C94" s="10" t="s">
        <v>135</v>
      </c>
      <c r="D94" s="45" t="s">
        <v>136</v>
      </c>
    </row>
    <row r="95" spans="1:12" ht="15.75" thickBot="1">
      <c r="A95" s="12">
        <v>4</v>
      </c>
      <c r="B95" s="13">
        <v>3</v>
      </c>
      <c r="C95" s="13" t="s">
        <v>137</v>
      </c>
      <c r="D95" s="46" t="s">
        <v>138</v>
      </c>
    </row>
  </sheetData>
  <mergeCells count="11">
    <mergeCell ref="J8:J9"/>
    <mergeCell ref="K8:K9"/>
    <mergeCell ref="D64:D70"/>
    <mergeCell ref="D71:D72"/>
    <mergeCell ref="D73:D85"/>
    <mergeCell ref="H8:I8"/>
    <mergeCell ref="A9:G9"/>
    <mergeCell ref="D10:D23"/>
    <mergeCell ref="D26:D57"/>
    <mergeCell ref="D58:D59"/>
    <mergeCell ref="D60:D61"/>
  </mergeCells>
  <phoneticPr fontId="12" type="noConversion"/>
  <conditionalFormatting sqref="F80">
    <cfRule type="dataBar" priority="1">
      <dataBar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{D94CD01E-33DC-4224-B502-967C9931C727}</x14:id>
        </ext>
      </extLst>
    </cfRule>
  </conditionalFormatting>
  <pageMargins left="0.7" right="0.7" top="0.75" bottom="0.75" header="0.3" footer="0.3"/>
  <pageSetup paperSize="9" orientation="portrait" r:id="rId1"/>
  <ignoredErrors>
    <ignoredError sqref="J12:J14 J18:J63 J16 J67:J85" formulaRange="1"/>
    <ignoredError sqref="J17 J15" formula="1" formulaRange="1"/>
    <ignoredError sqref="K28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4CD01E-33DC-4224-B502-967C9931C7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B24"/>
  <sheetViews>
    <sheetView topLeftCell="A4" workbookViewId="0">
      <selection activeCell="B24" sqref="B24"/>
    </sheetView>
  </sheetViews>
  <sheetFormatPr defaultRowHeight="15"/>
  <cols>
    <col min="1" max="1" width="42.140625" customWidth="1"/>
    <col min="2" max="2" width="41.42578125" bestFit="1" customWidth="1"/>
  </cols>
  <sheetData>
    <row r="3" spans="1:2">
      <c r="A3" s="47" t="str">
        <f>CONCATENATE(CHAR(HEX2DEC(23)),CHAR(HEX2DEC(53)))</f>
        <v>#S</v>
      </c>
    </row>
    <row r="4" spans="1:2">
      <c r="A4">
        <v>2353</v>
      </c>
      <c r="B4" s="47" t="str">
        <f>CONCATENATE(CHAR(HEX2DEC(MID(A4,1,2))),'Packet Fromat '!K11)</f>
        <v>#P</v>
      </c>
    </row>
    <row r="5" spans="1:2">
      <c r="A5">
        <v>31</v>
      </c>
      <c r="B5">
        <f>HEX2DEC(A5)</f>
        <v>49</v>
      </c>
    </row>
    <row r="6" spans="1:2">
      <c r="A6" t="s">
        <v>139</v>
      </c>
      <c r="B6" t="str">
        <f>CONCATENATE(HEX2DEC(MID(A6,1,2)),HEX2DEC(MID(A6,3,4)))</f>
        <v>0200</v>
      </c>
    </row>
    <row r="7" spans="1:2">
      <c r="A7" t="s">
        <v>142</v>
      </c>
      <c r="B7">
        <f>HEX2DEC(A7)</f>
        <v>1186795879</v>
      </c>
    </row>
    <row r="8" spans="1:2">
      <c r="A8" t="s">
        <v>140</v>
      </c>
      <c r="B8">
        <f>HEX2DEC(A8)</f>
        <v>2600</v>
      </c>
    </row>
    <row r="9" spans="1:2" ht="15.75">
      <c r="A9" t="s">
        <v>140</v>
      </c>
      <c r="B9" s="49" t="s">
        <v>141</v>
      </c>
    </row>
    <row r="12" spans="1:2">
      <c r="A12" s="10">
        <v>3.1323334353637298E+39</v>
      </c>
    </row>
    <row r="14" spans="1:2">
      <c r="A14" s="58" t="s">
        <v>145</v>
      </c>
      <c r="B14" t="str">
        <f>CONCATENATE(HEX2BIN(MID(A14,1,1)),HEX2BIN(MID(A14,2,1)),HEX2BIN(MID(A14,3,1)),HEX2BIN(MID(A14,4,1)),HEX2BIN(MID(A14,5,1)),HEX2BIN(MID(A14,6,1)),HEX2BIN(MID(A14,7,1)),HEX2BIN(MID(A14,8,1)),HEX2BIN(MID(A14,9,1)),HEX2BIN(MID(A14,10,1)),HEX2BIN(MID(A14,11,1))," ",HEX2BIN(MID(A14,12,1)))</f>
        <v>00000000011001011 1010</v>
      </c>
    </row>
    <row r="15" spans="1:2">
      <c r="B15" t="e">
        <f>HEX2BIN(MID(A14,1,12))</f>
        <v>#NUM!</v>
      </c>
    </row>
    <row r="18" spans="1:2">
      <c r="A18" s="69" t="s">
        <v>146</v>
      </c>
      <c r="B18">
        <f>Hex2Sng(A18)</f>
        <v>10901</v>
      </c>
    </row>
    <row r="20" spans="1:2">
      <c r="A20" s="3" t="s">
        <v>147</v>
      </c>
      <c r="B20" s="47" t="str">
        <f>CONCATENATE(CHAR(HEX2DEC(MID(A20,1,2))),CHAR(HEX2DEC(MID(A20,3,2))),CHAR(HEX2DEC(MID(A20,5,2))),CHAR(HEX2DEC(MID(A20,7,2))),CHAR(HEX2DEC(MID(A20,9,2))),CHAR(HEX2DEC(MID(A20,11,2))),CHAR(HEX2DEC(MID(A20,13,2))),CHAR(HEX2DEC(MID(A20,15,2))),CHAR(HEX2DEC(MID(A20,17,2))),CHAR(HEX2DEC(MID(A20,19,2))))</f>
        <v>IN-1312552</v>
      </c>
    </row>
    <row r="21" spans="1:2">
      <c r="A21">
        <v>0</v>
      </c>
      <c r="B21">
        <f>COUNTIF(A21,0)</f>
        <v>1</v>
      </c>
    </row>
    <row r="23" spans="1:2">
      <c r="B23">
        <f>IF(B21,1)</f>
        <v>1</v>
      </c>
    </row>
    <row r="24" spans="1:2">
      <c r="B24">
        <f>CHOOSE(B23,0)</f>
        <v>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Packet Fromat 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Dhiraj</dc:creator>
  <cp:lastModifiedBy>asus</cp:lastModifiedBy>
  <dcterms:created xsi:type="dcterms:W3CDTF">2017-11-29T09:36:26Z</dcterms:created>
  <dcterms:modified xsi:type="dcterms:W3CDTF">2021-05-11T12:24:47Z</dcterms:modified>
</cp:coreProperties>
</file>